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omparis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<sst xmlns="http://schemas.openxmlformats.org/spreadsheetml/2006/main" count="64" uniqueCount="60">
  <si>
    <t xml:space="preserve">MachineCare cost comparison: inputs</t>
  </si>
  <si>
    <t xml:space="preserve">Edit the BLUE cells only. Yellow = assumptions to replace with your internal figures. Everything else is calculated.</t>
  </si>
  <si>
    <t xml:space="preserve">Outside vendor (quote received)</t>
  </si>
  <si>
    <t xml:space="preserve">Licence price</t>
  </si>
  <si>
    <t xml:space="preserve">$ per user per month</t>
  </si>
  <si>
    <t xml:space="preserve">Quoted by vendor (supplied by you).</t>
  </si>
  <si>
    <t xml:space="preserve">Users</t>
  </si>
  <si>
    <t xml:space="preserve">people</t>
  </si>
  <si>
    <t xml:space="preserve">Supplied by you.</t>
  </si>
  <si>
    <t xml:space="preserve">One-time installation fee</t>
  </si>
  <si>
    <t xml:space="preserve">$</t>
  </si>
  <si>
    <t xml:space="preserve">Needed with either option</t>
  </si>
  <si>
    <t xml:space="preserve">Internal labour rate</t>
  </si>
  <si>
    <t xml:space="preserve">$ per hour (loaded)</t>
  </si>
  <si>
    <t xml:space="preserve">ASSUMPTION: replace with your internal cost per hour.</t>
  </si>
  <si>
    <t xml:space="preserve">Stock count &amp; data validation</t>
  </si>
  <si>
    <t xml:space="preserve">hours</t>
  </si>
  <si>
    <t xml:space="preserve">ASSUMPTION: count real stock, bins, prices, lead times for the lines in scope.</t>
  </si>
  <si>
    <t xml:space="preserve">Training per user</t>
  </si>
  <si>
    <t xml:space="preserve">hours per user</t>
  </si>
  <si>
    <t xml:space="preserve">ASSUMPTION: one hour of hands-on training per person.</t>
  </si>
  <si>
    <t xml:space="preserve">MachineCare (in-house): one-time</t>
  </si>
  <si>
    <t xml:space="preserve">Production hardening &amp; deployment</t>
  </si>
  <si>
    <t xml:space="preserve">ASSUMPTION: supported runtime, HTTPS hosting, company sign-in, monitoring, backups (see release gates).</t>
  </si>
  <si>
    <t xml:space="preserve">Independent security review</t>
  </si>
  <si>
    <t xml:space="preserve">ASSUMPTION: external review before company-wide release; get a real quote.</t>
  </si>
  <si>
    <t xml:space="preserve">MachineCare (in-house): every year</t>
  </si>
  <si>
    <t xml:space="preserve">Server / VM hosting &amp; backup storage</t>
  </si>
  <si>
    <t xml:space="preserve">$ per year</t>
  </si>
  <si>
    <t xml:space="preserve">ASSUMPTION: small internal VM plus off-host backup storage.</t>
  </si>
  <si>
    <t xml:space="preserve">Support, patching &amp; small changes</t>
  </si>
  <si>
    <t xml:space="preserve">hours per week</t>
  </si>
  <si>
    <t xml:space="preserve">ASSUMPTION: one internal owner, about half a day per week.</t>
  </si>
  <si>
    <t xml:space="preserve">5-year cost: outside vendor vs MachineCare</t>
  </si>
  <si>
    <t xml:space="preserve">All values in US$. Calculated from the Inputs sheet.</t>
  </si>
  <si>
    <t xml:space="preserve">Cost line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</si>
  <si>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</si>
  <si>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</si>
  <si>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</si>
  <si>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</si>
  <si>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</si>
  <si>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5-year total</t>
  </si>
  <si>
    <t xml:space="preserve">OUTSIDE VENDOR</t>
  </si>
  <si>
    <t xml:space="preserve">Licences (users × price × 12)</t>
  </si>
  <si>
    <t xml:space="preserve">Installation fee (one-time)</t>
  </si>
  <si>
    <t xml:space="preserve">Data validation &amp; training (internal)</t>
  </si>
  <si>
    <t xml:space="preserve">Vendor total per year</t>
  </si>
  <si>
    <t xml:space="preserve">MACHINECARE (IN-HOUSE)</t>
  </si>
  <si>
    <t xml:space="preserve">Licences</t>
  </si>
  <si>
    <t xml:space="preserve">Hardening, deployment &amp; security review (one-time)</t>
  </si>
  <si>
    <t xml:space="preserve">Hosting &amp; backup storage</t>
  </si>
  <si>
    <t xml:space="preserve">Support &amp; patching (hours/week × 52 × rate)</t>
  </si>
  <si>
    <t xml:space="preserve">MachineCare total per year</t>
  </si>
  <si>
    <t xml:space="preserve">Cumulative: outside vendor</t>
  </si>
  <si>
    <t xml:space="preserve">Cumulative: MachineCare</t>
  </si>
  <si>
    <t xml:space="preserve">Cumulative saving with MachineCare</t>
  </si>
  <si>
    <t xml:space="preserve">Running cost per user per month</t>
  </si>
  <si>
    <t xml:space="preserve">Outside vendor</t>
  </si>
  <si>
    <t xml:space="preserve">MachineCare</t>
  </si>
  <si>
    <t xml:space="preserve">Note: vendor figures are the quote you received. MachineCare figures are planning assumptions (yellow on Inputs); replace them with internal rates and real quotes before approval.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</si>
</sst>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\$#,##0;&quot;($&quot;#,##0\);\-"/>
    <numFmt numFmtId="168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36B7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536B7D"/>
      <name val="Arial"/>
      <family val="0"/>
      <charset val="1"/>
    </font>
    <font>
      <sz val="9"/>
      <color rgb="FF536B7D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3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2A3A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E0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36B7D"/>
      <rgbColor rgb="FF969696"/>
      <rgbColor rgb="FF0F2A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6" t="n">
        <v>50</v>
      </c>
      <c r="C5" s="7" t="s">
        <v>4</v>
      </c>
      <c r="D5" s="8" t="s">
        <v>5</v>
      </c>
    </row>
    <row r="6" customFormat="false" ht="15" hidden="false" customHeight="false" outlineLevel="0" collapsed="false">
      <c r="A6" s="5" t="s">
        <v>6</v>
      </c>
      <c r="B6" s="9" t="n">
        <v>62</v>
      </c>
      <c r="C6" s="7" t="s">
        <v>7</v>
      </c>
      <c r="D6" s="8" t="s">
        <v>8</v>
      </c>
    </row>
    <row r="7" customFormat="false" ht="15" hidden="false" customHeight="false" outlineLevel="0" collapsed="false">
      <c r="A7" s="5" t="s">
        <v>9</v>
      </c>
      <c r="B7" s="6" t="n">
        <v>10000</v>
      </c>
      <c r="C7" s="7" t="s">
        <v>10</v>
      </c>
      <c r="D7" s="8" t="s">
        <v>5</v>
      </c>
    </row>
    <row r="8" customFormat="false" ht="15" hidden="false" customHeight="false" outlineLevel="0" collapsed="false">
      <c r="A8" s="3" t="s">
        <v>11</v>
      </c>
      <c r="B8" s="4"/>
      <c r="C8" s="4"/>
      <c r="D8" s="4"/>
    </row>
    <row r="9" customFormat="false" ht="15" hidden="false" customHeight="false" outlineLevel="0" collapsed="false">
      <c r="A9" s="5" t="s">
        <v>12</v>
      </c>
      <c r="B9" s="10" t="n">
        <v>40</v>
      </c>
      <c r="C9" s="7" t="s">
        <v>13</v>
      </c>
      <c r="D9" s="8" t="s">
        <v>14</v>
      </c>
    </row>
    <row r="10" customFormat="false" ht="15" hidden="false" customHeight="false" outlineLevel="0" collapsed="false">
      <c r="A10" s="5" t="s">
        <v>15</v>
      </c>
      <c r="B10" s="11" t="n">
        <v>80</v>
      </c>
      <c r="C10" s="7" t="s">
        <v>16</v>
      </c>
      <c r="D10" s="8" t="s">
        <v>17</v>
      </c>
    </row>
    <row r="11" customFormat="false" ht="15" hidden="false" customHeight="false" outlineLevel="0" collapsed="false">
      <c r="A11" s="5" t="s">
        <v>18</v>
      </c>
      <c r="B11" s="11" t="n">
        <v>1</v>
      </c>
      <c r="C11" s="7" t="s">
        <v>19</v>
      </c>
      <c r="D11" s="8" t="s">
        <v>20</v>
      </c>
    </row>
    <row r="12" customFormat="false" ht="15" hidden="false" customHeight="false" outlineLevel="0" collapsed="false">
      <c r="A12" s="3" t="s">
        <v>21</v>
      </c>
      <c r="B12" s="4"/>
      <c r="C12" s="4"/>
      <c r="D12" s="4"/>
    </row>
    <row r="13" customFormat="false" ht="15" hidden="false" customHeight="false" outlineLevel="0" collapsed="false">
      <c r="A13" s="5" t="s">
        <v>22</v>
      </c>
      <c r="B13" s="11" t="n">
        <v>160</v>
      </c>
      <c r="C13" s="7" t="s">
        <v>16</v>
      </c>
      <c r="D13" s="8" t="s">
        <v>23</v>
      </c>
    </row>
    <row r="14" customFormat="false" ht="15" hidden="false" customHeight="false" outlineLevel="0" collapsed="false">
      <c r="A14" s="5" t="s">
        <v>24</v>
      </c>
      <c r="B14" s="10" t="n">
        <v>8000</v>
      </c>
      <c r="C14" s="7" t="s">
        <v>10</v>
      </c>
      <c r="D14" s="8" t="s">
        <v>25</v>
      </c>
    </row>
    <row r="15" customFormat="false" ht="15" hidden="false" customHeight="false" outlineLevel="0" collapsed="false">
      <c r="A15" s="3" t="s">
        <v>26</v>
      </c>
      <c r="B15" s="4"/>
      <c r="C15" s="4"/>
      <c r="D15" s="4"/>
    </row>
    <row r="16" customFormat="false" ht="15" hidden="false" customHeight="false" outlineLevel="0" collapsed="false">
      <c r="A16" s="5" t="s">
        <v>27</v>
      </c>
      <c r="B16" s="10" t="n">
        <v>1200</v>
      </c>
      <c r="C16" s="7" t="s">
        <v>28</v>
      </c>
      <c r="D16" s="8" t="s">
        <v>29</v>
      </c>
    </row>
    <row r="17" customFormat="false" ht="15" hidden="false" customHeight="false" outlineLevel="0" collapsed="false">
      <c r="A17" s="5" t="s">
        <v>30</v>
      </c>
      <c r="B17" s="11" t="n">
        <v>4</v>
      </c>
      <c r="C17" s="7" t="s">
        <v>31</v>
      </c>
      <c r="D17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33</v>
      </c>
      <c r="B1" s="12"/>
      <c r="C1" s="12"/>
      <c r="D1" s="12"/>
      <c r="E1" s="12"/>
      <c r="F1" s="12"/>
      <c r="G1" s="12"/>
    </row>
    <row r="2" customFormat="false" ht="15" hidden="false" customHeight="false" outlineLevel="0" collapsed="false">
      <c r="A2" s="2" t="s">
        <v>34</v>
      </c>
      <c r="B2" s="12"/>
      <c r="C2" s="12"/>
      <c r="D2" s="12"/>
      <c r="E2" s="12"/>
      <c r="F2" s="12"/>
      <c r="G2" s="12"/>
    </row>
    <row r="3" customFormat="false" ht="15" hidden="false" customHeight="false" outlineLevel="0" collapsed="false">
      <c r="A3" s="12"/>
      <c r="B3" s="12"/>
      <c r="C3" s="12"/>
      <c r="D3" s="12"/>
      <c r="E3" s="12"/>
      <c r="F3" s="12"/>
      <c r="G3" s="12"/>
    </row>
    <row r="4" customFormat="false" ht="15" hidden="false" customHeight="false" outlineLevel="0" collapsed="false">
      <c r="A4" s="13" t="s">
        <v>35</v>
      </c>
      <c r="B4" s="14" t="s">
        <v>36</v>
      </c>
      <c r="C4" s="14" t="s">
        <v>37</v>
      </c>
      <c r="D4" s="14" t="s">
        <v>38</v>
      </c>
      <c r="E4" s="14" t="s">
        <v>39</v>
      </c>
      <c r="F4" s="14" t="s">
        <v>40</v>
      </c>
      <c r="G4" s="14" t="s">
        <v>41</v>
      </c>
    </row>
    <row r="5" customFormat="false" ht="15" hidden="false" customHeight="false" outlineLevel="0" collapsed="false">
      <c r="A5" s="15" t="s">
        <v>42</v>
      </c>
      <c r="B5" s="12"/>
      <c r="C5" s="12"/>
      <c r="D5" s="12"/>
      <c r="E5" s="12"/>
      <c r="F5" s="12"/>
      <c r="G5" s="12"/>
    </row>
    <row r="6" customFormat="false" ht="15" hidden="false" customHeight="false" outlineLevel="0" collapsed="false">
      <c r="A6" s="16" t="s">
        <v>43</v>
      </c>
      <c r="B6" s="17" t="n">
        <f aca="false">Inputs!$B$5*Inputs!$B$6*12</f>
        <v>37200</v>
      </c>
      <c r="C6" s="17" t="n">
        <f aca="false">Inputs!$B$5*Inputs!$B$6*12</f>
        <v>37200</v>
      </c>
      <c r="D6" s="17" t="n">
        <f aca="false">Inputs!$B$5*Inputs!$B$6*12</f>
        <v>37200</v>
      </c>
      <c r="E6" s="17" t="n">
        <f aca="false">Inputs!$B$5*Inputs!$B$6*12</f>
        <v>37200</v>
      </c>
      <c r="F6" s="17" t="n">
        <f aca="false">Inputs!$B$5*Inputs!$B$6*12</f>
        <v>37200</v>
      </c>
      <c r="G6" s="17" t="n">
        <f aca="false">SUM(B6:F6)</f>
        <v>186000</v>
      </c>
    </row>
    <row r="7" customFormat="false" ht="15" hidden="false" customHeight="false" outlineLevel="0" collapsed="false">
      <c r="A7" s="16" t="s">
        <v>44</v>
      </c>
      <c r="B7" s="17" t="n">
        <f aca="false">Inputs!$B$7</f>
        <v>10000</v>
      </c>
      <c r="C7" s="17" t="n">
        <f aca="false">0</f>
        <v>0</v>
      </c>
      <c r="D7" s="17" t="n">
        <f aca="false">0</f>
        <v>0</v>
      </c>
      <c r="E7" s="17" t="n">
        <f aca="false">0</f>
        <v>0</v>
      </c>
      <c r="F7" s="17" t="n">
        <f aca="false">0</f>
        <v>0</v>
      </c>
      <c r="G7" s="17" t="n">
        <f aca="false">SUM(B7:F7)</f>
        <v>10000</v>
      </c>
    </row>
    <row r="8" customFormat="false" ht="15" hidden="false" customHeight="false" outlineLevel="0" collapsed="false">
      <c r="A8" s="16" t="s">
        <v>45</v>
      </c>
      <c r="B8" s="17" t="n">
        <f aca="false">Inputs!$B$9*(Inputs!$B$10+Inputs!$B$11*Inputs!$B$6)</f>
        <v>5680</v>
      </c>
      <c r="C8" s="17" t="n">
        <f aca="false">0</f>
        <v>0</v>
      </c>
      <c r="D8" s="17" t="n">
        <f aca="false">0</f>
        <v>0</v>
      </c>
      <c r="E8" s="17" t="n">
        <f aca="false">0</f>
        <v>0</v>
      </c>
      <c r="F8" s="17" t="n">
        <f aca="false">0</f>
        <v>0</v>
      </c>
      <c r="G8" s="17" t="n">
        <f aca="false">SUM(B8:F8)</f>
        <v>5680</v>
      </c>
    </row>
    <row r="9" customFormat="false" ht="15" hidden="false" customHeight="false" outlineLevel="0" collapsed="false">
      <c r="A9" s="18" t="s">
        <v>46</v>
      </c>
      <c r="B9" s="19" t="n">
        <f aca="false">SUM(B6:B8)</f>
        <v>52880</v>
      </c>
      <c r="C9" s="19" t="n">
        <f aca="false">SUM(C6:C8)</f>
        <v>37200</v>
      </c>
      <c r="D9" s="19" t="n">
        <f aca="false">SUM(D6:D8)</f>
        <v>37200</v>
      </c>
      <c r="E9" s="19" t="n">
        <f aca="false">SUM(E6:E8)</f>
        <v>37200</v>
      </c>
      <c r="F9" s="19" t="n">
        <f aca="false">SUM(F6:F8)</f>
        <v>37200</v>
      </c>
      <c r="G9" s="19" t="n">
        <f aca="false">SUM(B9:F9)</f>
        <v>201680</v>
      </c>
    </row>
    <row r="10" customFormat="false" ht="15" hidden="false" customHeight="false" outlineLevel="0" collapsed="false">
      <c r="A10" s="15" t="s">
        <v>47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16" t="s">
        <v>48</v>
      </c>
      <c r="B11" s="17" t="n">
        <f aca="false">0</f>
        <v>0</v>
      </c>
      <c r="C11" s="17" t="n">
        <f aca="false">0</f>
        <v>0</v>
      </c>
      <c r="D11" s="17" t="n">
        <f aca="false">0</f>
        <v>0</v>
      </c>
      <c r="E11" s="17" t="n">
        <f aca="false">0</f>
        <v>0</v>
      </c>
      <c r="F11" s="17" t="n">
        <f aca="false">0</f>
        <v>0</v>
      </c>
      <c r="G11" s="17" t="n">
        <f aca="false">SUM(B11:F11)</f>
        <v>0</v>
      </c>
    </row>
    <row r="12" customFormat="false" ht="15" hidden="false" customHeight="false" outlineLevel="0" collapsed="false">
      <c r="A12" s="16" t="s">
        <v>49</v>
      </c>
      <c r="B12" s="17" t="n">
        <f aca="false">Inputs!$B$9*Inputs!$B$13+Inputs!$B$14</f>
        <v>14400</v>
      </c>
      <c r="C12" s="17" t="n">
        <f aca="false">0</f>
        <v>0</v>
      </c>
      <c r="D12" s="17" t="n">
        <f aca="false">0</f>
        <v>0</v>
      </c>
      <c r="E12" s="17" t="n">
        <f aca="false">0</f>
        <v>0</v>
      </c>
      <c r="F12" s="17" t="n">
        <f aca="false">0</f>
        <v>0</v>
      </c>
      <c r="G12" s="17" t="n">
        <f aca="false">SUM(B12:F12)</f>
        <v>14400</v>
      </c>
    </row>
    <row r="13" customFormat="false" ht="15" hidden="false" customHeight="false" outlineLevel="0" collapsed="false">
      <c r="A13" s="16" t="s">
        <v>45</v>
      </c>
      <c r="B13" s="17" t="n">
        <f aca="false">Inputs!$B$9*(Inputs!$B$10+Inputs!$B$11*Inputs!$B$6)</f>
        <v>5680</v>
      </c>
      <c r="C13" s="17" t="n">
        <f aca="false">0</f>
        <v>0</v>
      </c>
      <c r="D13" s="17" t="n">
        <f aca="false">0</f>
        <v>0</v>
      </c>
      <c r="E13" s="17" t="n">
        <f aca="false">0</f>
        <v>0</v>
      </c>
      <c r="F13" s="17" t="n">
        <f aca="false">0</f>
        <v>0</v>
      </c>
      <c r="G13" s="17" t="n">
        <f aca="false">SUM(B13:F13)</f>
        <v>5680</v>
      </c>
    </row>
    <row r="14" customFormat="false" ht="15" hidden="false" customHeight="false" outlineLevel="0" collapsed="false">
      <c r="A14" s="16" t="s">
        <v>50</v>
      </c>
      <c r="B14" s="17" t="n">
        <f aca="false">Inputs!$B$16</f>
        <v>1200</v>
      </c>
      <c r="C14" s="17" t="n">
        <f aca="false">Inputs!$B$16</f>
        <v>1200</v>
      </c>
      <c r="D14" s="17" t="n">
        <f aca="false">Inputs!$B$16</f>
        <v>1200</v>
      </c>
      <c r="E14" s="17" t="n">
        <f aca="false">Inputs!$B$16</f>
        <v>1200</v>
      </c>
      <c r="F14" s="17" t="n">
        <f aca="false">Inputs!$B$16</f>
        <v>1200</v>
      </c>
      <c r="G14" s="17" t="n">
        <f aca="false">SUM(B14:F14)</f>
        <v>6000</v>
      </c>
    </row>
    <row r="15" customFormat="false" ht="15" hidden="false" customHeight="false" outlineLevel="0" collapsed="false">
      <c r="A15" s="16" t="s">
        <v>51</v>
      </c>
      <c r="B15" s="17" t="n">
        <f aca="false">Inputs!$B$17*52*Inputs!$B$9</f>
        <v>8320</v>
      </c>
      <c r="C15" s="17" t="n">
        <f aca="false">Inputs!$B$17*52*Inputs!$B$9</f>
        <v>8320</v>
      </c>
      <c r="D15" s="17" t="n">
        <f aca="false">Inputs!$B$17*52*Inputs!$B$9</f>
        <v>8320</v>
      </c>
      <c r="E15" s="17" t="n">
        <f aca="false">Inputs!$B$17*52*Inputs!$B$9</f>
        <v>8320</v>
      </c>
      <c r="F15" s="17" t="n">
        <f aca="false">Inputs!$B$17*52*Inputs!$B$9</f>
        <v>8320</v>
      </c>
      <c r="G15" s="17" t="n">
        <f aca="false">SUM(B15:F15)</f>
        <v>41600</v>
      </c>
    </row>
    <row r="16" customFormat="false" ht="15" hidden="false" customHeight="false" outlineLevel="0" collapsed="false">
      <c r="A16" s="18" t="s">
        <v>52</v>
      </c>
      <c r="B16" s="19" t="n">
        <f aca="false">SUM(B11:B15)</f>
        <v>29600</v>
      </c>
      <c r="C16" s="19" t="n">
        <f aca="false">SUM(C11:C15)</f>
        <v>9520</v>
      </c>
      <c r="D16" s="19" t="n">
        <f aca="false">SUM(D11:D15)</f>
        <v>9520</v>
      </c>
      <c r="E16" s="19" t="n">
        <f aca="false">SUM(E11:E15)</f>
        <v>9520</v>
      </c>
      <c r="F16" s="19" t="n">
        <f aca="false">SUM(F11:F15)</f>
        <v>9520</v>
      </c>
      <c r="G16" s="19" t="n">
        <f aca="false">SUM(B16:F16)</f>
        <v>67680</v>
      </c>
    </row>
    <row r="17" customFormat="false" ht="15" hidden="false" customHeight="false" outlineLevel="0" collapsed="false">
      <c r="A17" s="15"/>
      <c r="B17" s="12"/>
      <c r="C17" s="12"/>
      <c r="D17" s="12"/>
      <c r="E17" s="12"/>
      <c r="F17" s="12"/>
      <c r="G17" s="12"/>
    </row>
    <row r="18" customFormat="false" ht="15" hidden="false" customHeight="false" outlineLevel="0" collapsed="false">
      <c r="A18" s="18" t="s">
        <v>53</v>
      </c>
      <c r="B18" s="19" t="n">
        <f aca="false">SUM($B$9:B9)</f>
        <v>52880</v>
      </c>
      <c r="C18" s="19" t="n">
        <f aca="false">SUM($B$9:C9)</f>
        <v>90080</v>
      </c>
      <c r="D18" s="19" t="n">
        <f aca="false">SUM($B$9:D9)</f>
        <v>127280</v>
      </c>
      <c r="E18" s="19" t="n">
        <f aca="false">SUM($B$9:E9)</f>
        <v>164480</v>
      </c>
      <c r="F18" s="19" t="n">
        <f aca="false">SUM($B$9:F9)</f>
        <v>201680</v>
      </c>
      <c r="G18" s="20"/>
    </row>
    <row r="19" customFormat="false" ht="15" hidden="false" customHeight="false" outlineLevel="0" collapsed="false">
      <c r="A19" s="18" t="s">
        <v>54</v>
      </c>
      <c r="B19" s="19" t="n">
        <f aca="false">SUM($B$16:B16)</f>
        <v>29600</v>
      </c>
      <c r="C19" s="19" t="n">
        <f aca="false">SUM($B$16:C16)</f>
        <v>39120</v>
      </c>
      <c r="D19" s="19" t="n">
        <f aca="false">SUM($B$16:D16)</f>
        <v>48640</v>
      </c>
      <c r="E19" s="19" t="n">
        <f aca="false">SUM($B$16:E16)</f>
        <v>58160</v>
      </c>
      <c r="F19" s="19" t="n">
        <f aca="false">SUM($B$16:F16)</f>
        <v>67680</v>
      </c>
      <c r="G19" s="20"/>
    </row>
    <row r="20" customFormat="false" ht="15" hidden="false" customHeight="false" outlineLevel="0" collapsed="false">
      <c r="A20" s="18" t="s">
        <v>55</v>
      </c>
      <c r="B20" s="19" t="n">
        <f aca="false">B18-B19</f>
        <v>23280</v>
      </c>
      <c r="C20" s="19" t="n">
        <f aca="false">C18-C19</f>
        <v>50960</v>
      </c>
      <c r="D20" s="19" t="n">
        <f aca="false">D18-D19</f>
        <v>78640</v>
      </c>
      <c r="E20" s="19" t="n">
        <f aca="false">E18-E19</f>
        <v>106320</v>
      </c>
      <c r="F20" s="19" t="n">
        <f aca="false">F18-F19</f>
        <v>134000</v>
      </c>
      <c r="G20" s="20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  <c r="G21" s="12"/>
    </row>
    <row r="22" customFormat="false" ht="15" hidden="false" customHeight="false" outlineLevel="0" collapsed="false">
      <c r="A22" s="15" t="s">
        <v>56</v>
      </c>
      <c r="B22" s="12"/>
      <c r="C22" s="12"/>
      <c r="D22" s="12"/>
      <c r="E22" s="12"/>
      <c r="F22" s="12"/>
      <c r="G22" s="12"/>
    </row>
    <row r="23" customFormat="false" ht="15" hidden="false" customHeight="false" outlineLevel="0" collapsed="false">
      <c r="A23" s="12" t="s">
        <v>57</v>
      </c>
      <c r="B23" s="21" t="n">
        <f aca="false">Inputs!$B$5</f>
        <v>50</v>
      </c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12" t="s">
        <v>58</v>
      </c>
      <c r="B24" s="21" t="n">
        <f aca="false">(Inputs!$B$16+Inputs!$B$17*52*Inputs!$B$9)/MAX(1,Inputs!$B$6)/12</f>
        <v>12.7956989247312</v>
      </c>
      <c r="C24" s="12"/>
      <c r="D24" s="12"/>
      <c r="E24" s="12"/>
      <c r="F24" s="12"/>
      <c r="G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  <c r="G25" s="12"/>
    </row>
    <row r="26" customFormat="false" ht="15" hidden="false" customHeight="false" outlineLevel="0" collapsed="false">
      <c r="A26" s="22" t="s">
        <v>59</v>
      </c>
      <c r="B26" s="12"/>
      <c r="C26" s="12"/>
      <c r="D26" s="12"/>
      <c r="E26" s="12"/>
      <c r="F26" s="12"/>
      <c r="G2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2026-10-20T19:44:13Z</dcterms:created>
  <dc:creator>openpyxl</dc:creator>
  <dc:description/>
  <dc:language>en-US</dc:language>
  <cp:lastModifiedBy/>
  <dcterms:modified xsi:type="dcterms:W3CDTF">2026-10-20T19:44:13Z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