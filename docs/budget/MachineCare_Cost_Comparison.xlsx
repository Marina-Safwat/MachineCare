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Budget detail" sheetId="2" state="visible" r:id="rId4"/>
    <sheet name="Compariso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<sst xmlns="http://schemas.openxmlformats.org/spreadsheetml/2006/main" count="187" uniqueCount="126">
  <si>
    <t xml:space="preserve">MachineCare vs outside vendor: inputs</t>
  </si>
  <si>
    <t xml:space="preserve">Edit BLUE cells only. Yellow fill = assumption to confirm. "Your sheet" = value from the spreadsheet you sent (21 Oct 2026). Every other sheet is calculated.</t>
  </si>
  <si>
    <t xml:space="preserve">Input</t>
  </si>
  <si>
    <t xml:space="preserve">Value</t>
  </si>
  <si>
    <t xml:space="preserve">Unit</t>
  </si>
  <si>
    <t xml:space="preserve">Source / note</t>
  </si>
  <si>
    <t xml:space="preserve">General</t>
  </si>
  <si>
    <t xml:space="preserve">Users (licences needed)</t>
  </si>
  <si>
    <t xml:space="preserve">people</t>
  </si>
  <si>
    <t xml:space="preserve">Your sheet.</t>
  </si>
  <si>
    <t xml:space="preserve">Internal labour rate (loaded)</t>
  </si>
  <si>
    <t xml:space="preserve">$ per hour</t>
  </si>
  <si>
    <t xml:space="preserve">Your sheet. Used for every internal hour on both sides; confirm with finance.</t>
  </si>
  <si>
    <t xml:space="preserve">Outside vendor (quote)</t>
  </si>
  <si>
    <t xml:space="preserve">Licence price</t>
  </si>
  <si>
    <t xml:space="preserve">$ per user per month</t>
  </si>
  <si>
    <t xml:space="preserve">Vendor quote (your sheet).</t>
  </si>
  <si>
    <t xml:space="preserve">One-time installation fee</t>
  </si>
  <si>
    <t xml:space="preserve">$</t>
  </si>
  <si>
    <t xml:space="preserve">Yearly licence price increase</t>
  </si>
  <si>
    <t xml:space="preserve">% per year</t>
  </si>
  <si>
    <t xml:space="preserve">ASSUMPTION: 0% = flat price for 5 years. Ask the vendor for their renewal terms.</t>
  </si>
  <si>
    <t xml:space="preserve">Vendor system administration (internal)</t>
  </si>
  <si>
    <t xml:space="preserve">hours per week</t>
  </si>
  <si>
    <t xml:space="preserve">ADDED ASSUMPTION: someone still manages users, settings and vendor contact. Set 0 to match your sheet.</t>
  </si>
  <si>
    <t xml:space="preserve">Security review: in-house security team</t>
  </si>
  <si>
    <t xml:space="preserve">MachineCare initial security review</t>
  </si>
  <si>
    <t xml:space="preserve">hours</t>
  </si>
  <si>
    <t xml:space="preserve">Your sheet: $800 = 20 h at $40/h, done by our own security team.</t>
  </si>
  <si>
    <t xml:space="preserve">Vendor system initial security review</t>
  </si>
  <si>
    <t xml:space="preserve">ADDED ASSUMPTION: our team must also review a vendor system (our data leaves our network). Set 0 to match your sheet.</t>
  </si>
  <si>
    <t xml:space="preserve">Yearly security re-check, MachineCare (years 2–5)</t>
  </si>
  <si>
    <t xml:space="preserve">hours per year</t>
  </si>
  <si>
    <t xml:space="preserve">ADDED ASSUMPTION: patch and access review. Set 0 to match your sheet.</t>
  </si>
  <si>
    <t xml:space="preserve">Yearly security re-check, vendor (years 2–5)</t>
  </si>
  <si>
    <t xml:space="preserve">ADDED ASSUMPTION: vendor access and data review. Set 0 to match your sheet.</t>
  </si>
  <si>
    <t xml:space="preserve">Data and training (needed with either option)</t>
  </si>
  <si>
    <t xml:space="preserve">Physical stock count</t>
  </si>
  <si>
    <t xml:space="preserve">Your sheet had 80 h for data validation in total; split here 40 + 20 + 20.</t>
  </si>
  <si>
    <t xml:space="preserve">Bins, prices and supplier details</t>
  </si>
  <si>
    <t xml:space="preserve">Part of the 80 h.</t>
  </si>
  <si>
    <t xml:space="preserve">Lead times and maintenance intervals</t>
  </si>
  <si>
    <t xml:space="preserve">Training per user</t>
  </si>
  <si>
    <t xml:space="preserve">hours per user</t>
  </si>
  <si>
    <t xml:space="preserve">MachineCare one-time setup (our engineering)</t>
  </si>
  <si>
    <t xml:space="preserve">Upgrade to a supported Python/Flutter and re-test</t>
  </si>
  <si>
    <t xml:space="preserve">Your sheet had 160 h in total; split here 24 + 40 + 40 + 24 + 32.</t>
  </si>
  <si>
    <t xml:space="preserve">Production server, HTTPS and deployment</t>
  </si>
  <si>
    <t xml:space="preserve">Part of the 160 h.</t>
  </si>
  <si>
    <t xml:space="preserve">Company sign-in (SSO) and account setup</t>
  </si>
  <si>
    <t xml:space="preserve">Monitoring and scheduled backups</t>
  </si>
  <si>
    <t xml:space="preserve">User acceptance testing with each role</t>
  </si>
  <si>
    <t xml:space="preserve">MachineCare yearly running</t>
  </si>
  <si>
    <t xml:space="preserve">Server / VM hosting</t>
  </si>
  <si>
    <t xml:space="preserve">$ per year</t>
  </si>
  <si>
    <t xml:space="preserve">Your sheet had $1,200/yr for hosting and backup storage; split here 900 + 300.</t>
  </si>
  <si>
    <t xml:space="preserve">Off-host backup storage</t>
  </si>
  <si>
    <t xml:space="preserve">Part of the $1,200.</t>
  </si>
  <si>
    <t xml:space="preserve">Patching and monitoring</t>
  </si>
  <si>
    <t xml:space="preserve">Your sheet had 4 h/week of support in total; split here 1.5 + 1.5 + 1.</t>
  </si>
  <si>
    <t xml:space="preserve">User help and fixes</t>
  </si>
  <si>
    <t xml:space="preserve">Part of the 4 h/week.</t>
  </si>
  <si>
    <t xml:space="preserve">Small changes and improvements</t>
  </si>
  <si>
    <t xml:space="preserve">Side-by-side budget by category (US$)</t>
  </si>
  <si>
    <t xml:space="preserve">Year 1 = first year including one-time costs. Year 2+ = each later year. Linked to the Comparison sheet.</t>
  </si>
  <si>
    <t xml:space="preserve">Category</t>
  </si>
  <si>
    <t xml:space="preserve">Outside vendor · Year 1</t>
  </si>
  <si>
    <t xml:space="preserve">Outside vendor · Year 2+</t>
  </si>
  <si>
    <t xml:space="preserve">Outside vendor · 5 years</t>
  </si>
  <si>
    <t xml:space="preserve">MachineCare · Year 1</t>
  </si>
  <si>
    <t xml:space="preserve">MachineCare · Year 2+</t>
  </si>
  <si>
    <t xml:space="preserve">MachineCare · 5 years</t>
  </si>
  <si>
    <t xml:space="preserve">5-year difference</t>
  </si>
  <si>
    <t xml:space="preserve">Licences and fees</t>
  </si>
  <si>
    <t xml:space="preserve">Setup and deployment</t>
  </si>
  <si>
    <t xml:space="preserve">Security (in-house team)</t>
  </si>
  <si>
    <t xml:space="preserve">Data preparation</t>
  </si>
  <si>
    <t xml:space="preserve">Training</t>
  </si>
  <si>
    <t xml:space="preserve">Hosting and backups</t>
  </si>
  <si>
    <t xml:space="preserve">Running, support and administration</t>
  </si>
  <si>
    <t xml:space="preserve">Total</t>
  </si>
  <si>
    <t xml:space="preserve">Checks: totals must equal the Comparison sheet.</t>
  </si>
  <si>
    <t xml:space="preserve">Vendor 5-year check</t>
  </si>
  <si>
    <t xml:space="preserve">MachineCare 5-year check</t>
  </si>
  <si>
    <t xml:space="preserve">5-year comparison: every cost line, both options (US$)</t>
  </si>
  <si>
    <t xml:space="preserve">Calculated from Inputs. Year 1 includes all one-time costs.</t>
  </si>
  <si>
    <t xml:space="preserve">Cost line</t>
  </si>
  <si>
    <t xml:space="preserve">Basis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</si>
  <si>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</si>
  <si>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</si>
  <si>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</si>
  <si>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</si>
  <si>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</si>
  <si>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5-year total</t>
  </si>
  <si>
    <t xml:space="preserve">OUTSIDE VENDOR</t>
  </si>
  <si>
    <t xml:space="preserve">Licences</t>
  </si>
  <si>
    <t xml:space="preserve">users × price × 12 (+ yearly increase)</t>
  </si>
  <si>
    <t xml:space="preserve">Installation fee</t>
  </si>
  <si>
    <t xml:space="preserve">One-time, vendor quote</t>
  </si>
  <si>
    <t xml:space="preserve">Included in installation fee</t>
  </si>
  <si>
    <t xml:space="preserve">Security review (in-house team)</t>
  </si>
  <si>
    <t xml:space="preserve">hours × rate</t>
  </si>
  <si>
    <t xml:space="preserve">Yearly security re-check</t>
  </si>
  <si>
    <t xml:space="preserve">hours/yr × rate (yrs 2–5)</t>
  </si>
  <si>
    <t xml:space="preserve">users × hours × rate</t>
  </si>
  <si>
    <t xml:space="preserve">Included in subscription</t>
  </si>
  <si>
    <t xml:space="preserve">System administration (internal)</t>
  </si>
  <si>
    <t xml:space="preserve">hours/week × 52 × rate</t>
  </si>
  <si>
    <t xml:space="preserve">Outside vendor total per year</t>
  </si>
  <si>
    <t xml:space="preserve">MACHINECARE (IN-HOUSE)</t>
  </si>
  <si>
    <t xml:space="preserve">None: built in-house</t>
  </si>
  <si>
    <t xml:space="preserve">None</t>
  </si>
  <si>
    <t xml:space="preserve">Runtime upgrade and re-test</t>
  </si>
  <si>
    <t xml:space="preserve">Company sign-in (SSO)</t>
  </si>
  <si>
    <t xml:space="preserve">User acceptance testing</t>
  </si>
  <si>
    <t xml:space="preserve">MachineCare total per year</t>
  </si>
  <si>
    <t xml:space="preserve">Cumulative: outside vendor</t>
  </si>
  <si>
    <t xml:space="preserve">Cumulative: MachineCare</t>
  </si>
  <si>
    <t xml:space="preserve">Cumulative saving with MachineCare</t>
  </si>
  <si>
    <t xml:space="preserve">Running cost per user per month (Year 2, after one-time costs)</t>
  </si>
  <si>
    <t xml:space="preserve">Outside vendor</t>
  </si>
  <si>
    <t xml:space="preserve">MachineCare</t>
  </si>
  <si>
    <t xml:space="preserve">Reconciliation with your sheet (added assumptions removed)</t>
  </si>
  <si>
    <t xml:space="preserve">Vendor 5-year total without added lines (security, re-checks, admin)</t>
  </si>
  <si>
    <t xml:space="preserve">MachineCare 5-year total without added line (yearly re-check)</t>
  </si>
  <si>
    <t xml:space="preserve">Vendor figures: the quote received. Internal hours are valued at the labour rate on Inputs. Yellow inputs are assumptions to confirm before approval.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</si>
</sst>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\$#,##0"/>
    <numFmt numFmtId="167" formatCode="0.0%"/>
    <numFmt numFmtId="168" formatCode="#,##0.0"/>
    <numFmt numFmtId="169" formatCode="\$#,##0;&quot;($&quot;#,##0\);\-"/>
    <numFmt numFmtId="170" formatCode="\$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36B7D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536B7D"/>
      <name val="Arial"/>
      <family val="0"/>
      <charset val="1"/>
    </font>
    <font>
      <sz val="9"/>
      <color rgb="FF536B7D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F2A3A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F2A3A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2F5F7"/>
        <bgColor rgb="FFE1F2EF"/>
      </patternFill>
    </fill>
    <fill>
      <patternFill patternType="solid">
        <fgColor rgb="FFE1F2EF"/>
        <bgColor rgb="FFF2F5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5E0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5F7"/>
      <rgbColor rgb="FFE1F2EF"/>
      <rgbColor rgb="FF660066"/>
      <rgbColor rgb="FFFF8080"/>
      <rgbColor rgb="FF0066CC"/>
      <rgbColor rgb="FFD5E0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36B7D"/>
      <rgbColor rgb="FF969696"/>
      <rgbColor rgb="FF0F2A3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10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3" t="s">
        <v>6</v>
      </c>
      <c r="B5" s="4"/>
      <c r="C5" s="4"/>
      <c r="D5" s="4"/>
    </row>
    <row r="6" customFormat="false" ht="15" hidden="false" customHeight="false" outlineLevel="0" collapsed="false">
      <c r="A6" s="5" t="s">
        <v>7</v>
      </c>
      <c r="B6" s="6" t="n">
        <v>62</v>
      </c>
      <c r="C6" s="7" t="s">
        <v>8</v>
      </c>
      <c r="D6" s="8" t="s">
        <v>9</v>
      </c>
    </row>
    <row r="7" customFormat="false" ht="15" hidden="false" customHeight="false" outlineLevel="0" collapsed="false">
      <c r="A7" s="5" t="s">
        <v>10</v>
      </c>
      <c r="B7" s="9" t="n">
        <v>40</v>
      </c>
      <c r="C7" s="7" t="s">
        <v>11</v>
      </c>
      <c r="D7" s="8" t="s">
        <v>12</v>
      </c>
    </row>
    <row r="8" customFormat="false" ht="15" hidden="false" customHeight="false" outlineLevel="0" collapsed="false">
      <c r="A8" s="3" t="s">
        <v>13</v>
      </c>
      <c r="B8" s="4"/>
      <c r="C8" s="4"/>
      <c r="D8" s="4"/>
    </row>
    <row r="9" customFormat="false" ht="15" hidden="false" customHeight="false" outlineLevel="0" collapsed="false">
      <c r="A9" s="5" t="s">
        <v>14</v>
      </c>
      <c r="B9" s="10" t="n">
        <v>50</v>
      </c>
      <c r="C9" s="7" t="s">
        <v>15</v>
      </c>
      <c r="D9" s="8" t="s">
        <v>16</v>
      </c>
    </row>
    <row r="10" customFormat="false" ht="15" hidden="false" customHeight="false" outlineLevel="0" collapsed="false">
      <c r="A10" s="5" t="s">
        <v>17</v>
      </c>
      <c r="B10" s="10" t="n">
        <v>10000</v>
      </c>
      <c r="C10" s="7" t="s">
        <v>18</v>
      </c>
      <c r="D10" s="8" t="s">
        <v>16</v>
      </c>
    </row>
    <row r="11" customFormat="false" ht="15" hidden="false" customHeight="false" outlineLevel="0" collapsed="false">
      <c r="A11" s="5" t="s">
        <v>19</v>
      </c>
      <c r="B11" s="11" t="n">
        <v>0</v>
      </c>
      <c r="C11" s="7" t="s">
        <v>20</v>
      </c>
      <c r="D11" s="8" t="s">
        <v>21</v>
      </c>
    </row>
    <row r="12" customFormat="false" ht="15" hidden="false" customHeight="false" outlineLevel="0" collapsed="false">
      <c r="A12" s="5" t="s">
        <v>22</v>
      </c>
      <c r="B12" s="12" t="n">
        <v>1</v>
      </c>
      <c r="C12" s="7" t="s">
        <v>23</v>
      </c>
      <c r="D12" s="8" t="s">
        <v>24</v>
      </c>
    </row>
    <row r="13" customFormat="false" ht="15" hidden="false" customHeight="false" outlineLevel="0" collapsed="false">
      <c r="A13" s="3" t="s">
        <v>25</v>
      </c>
      <c r="B13" s="4"/>
      <c r="C13" s="4"/>
      <c r="D13" s="4"/>
    </row>
    <row r="14" customFormat="false" ht="15" hidden="false" customHeight="false" outlineLevel="0" collapsed="false">
      <c r="A14" s="5" t="s">
        <v>26</v>
      </c>
      <c r="B14" s="6" t="n">
        <v>20</v>
      </c>
      <c r="C14" s="7" t="s">
        <v>27</v>
      </c>
      <c r="D14" s="8" t="s">
        <v>28</v>
      </c>
    </row>
    <row r="15" customFormat="false" ht="15" hidden="false" customHeight="false" outlineLevel="0" collapsed="false">
      <c r="A15" s="5" t="s">
        <v>29</v>
      </c>
      <c r="B15" s="12" t="n">
        <v>20</v>
      </c>
      <c r="C15" s="7" t="s">
        <v>27</v>
      </c>
      <c r="D15" s="8" t="s">
        <v>30</v>
      </c>
    </row>
    <row r="16" customFormat="false" ht="15" hidden="false" customHeight="false" outlineLevel="0" collapsed="false">
      <c r="A16" s="5" t="s">
        <v>31</v>
      </c>
      <c r="B16" s="12" t="n">
        <v>8</v>
      </c>
      <c r="C16" s="7" t="s">
        <v>32</v>
      </c>
      <c r="D16" s="8" t="s">
        <v>33</v>
      </c>
    </row>
    <row r="17" customFormat="false" ht="15" hidden="false" customHeight="false" outlineLevel="0" collapsed="false">
      <c r="A17" s="5" t="s">
        <v>34</v>
      </c>
      <c r="B17" s="12" t="n">
        <v>8</v>
      </c>
      <c r="C17" s="7" t="s">
        <v>32</v>
      </c>
      <c r="D17" s="8" t="s">
        <v>35</v>
      </c>
    </row>
    <row r="18" customFormat="false" ht="15" hidden="false" customHeight="false" outlineLevel="0" collapsed="false">
      <c r="A18" s="3" t="s">
        <v>36</v>
      </c>
      <c r="B18" s="4"/>
      <c r="C18" s="4"/>
      <c r="D18" s="4"/>
    </row>
    <row r="19" customFormat="false" ht="15" hidden="false" customHeight="false" outlineLevel="0" collapsed="false">
      <c r="A19" s="5" t="s">
        <v>37</v>
      </c>
      <c r="B19" s="12" t="n">
        <v>40</v>
      </c>
      <c r="C19" s="7" t="s">
        <v>27</v>
      </c>
      <c r="D19" s="8" t="s">
        <v>38</v>
      </c>
    </row>
    <row r="20" customFormat="false" ht="15" hidden="false" customHeight="false" outlineLevel="0" collapsed="false">
      <c r="A20" s="5" t="s">
        <v>39</v>
      </c>
      <c r="B20" s="12" t="n">
        <v>20</v>
      </c>
      <c r="C20" s="7" t="s">
        <v>27</v>
      </c>
      <c r="D20" s="8" t="s">
        <v>40</v>
      </c>
    </row>
    <row r="21" customFormat="false" ht="15" hidden="false" customHeight="false" outlineLevel="0" collapsed="false">
      <c r="A21" s="5" t="s">
        <v>41</v>
      </c>
      <c r="B21" s="12" t="n">
        <v>20</v>
      </c>
      <c r="C21" s="7" t="s">
        <v>27</v>
      </c>
      <c r="D21" s="8" t="s">
        <v>40</v>
      </c>
    </row>
    <row r="22" customFormat="false" ht="15" hidden="false" customHeight="false" outlineLevel="0" collapsed="false">
      <c r="A22" s="5" t="s">
        <v>42</v>
      </c>
      <c r="B22" s="12" t="n">
        <v>1</v>
      </c>
      <c r="C22" s="7" t="s">
        <v>43</v>
      </c>
      <c r="D22" s="8" t="s">
        <v>9</v>
      </c>
    </row>
    <row r="23" customFormat="false" ht="15" hidden="false" customHeight="false" outlineLevel="0" collapsed="false">
      <c r="A23" s="3" t="s">
        <v>44</v>
      </c>
      <c r="B23" s="4"/>
      <c r="C23" s="4"/>
      <c r="D23" s="4"/>
    </row>
    <row r="24" customFormat="false" ht="15" hidden="false" customHeight="false" outlineLevel="0" collapsed="false">
      <c r="A24" s="5" t="s">
        <v>45</v>
      </c>
      <c r="B24" s="12" t="n">
        <v>24</v>
      </c>
      <c r="C24" s="7" t="s">
        <v>27</v>
      </c>
      <c r="D24" s="8" t="s">
        <v>46</v>
      </c>
    </row>
    <row r="25" customFormat="false" ht="15" hidden="false" customHeight="false" outlineLevel="0" collapsed="false">
      <c r="A25" s="5" t="s">
        <v>47</v>
      </c>
      <c r="B25" s="12" t="n">
        <v>40</v>
      </c>
      <c r="C25" s="7" t="s">
        <v>27</v>
      </c>
      <c r="D25" s="8" t="s">
        <v>48</v>
      </c>
    </row>
    <row r="26" customFormat="false" ht="15" hidden="false" customHeight="false" outlineLevel="0" collapsed="false">
      <c r="A26" s="5" t="s">
        <v>49</v>
      </c>
      <c r="B26" s="12" t="n">
        <v>40</v>
      </c>
      <c r="C26" s="7" t="s">
        <v>27</v>
      </c>
      <c r="D26" s="8" t="s">
        <v>48</v>
      </c>
    </row>
    <row r="27" customFormat="false" ht="15" hidden="false" customHeight="false" outlineLevel="0" collapsed="false">
      <c r="A27" s="5" t="s">
        <v>50</v>
      </c>
      <c r="B27" s="12" t="n">
        <v>24</v>
      </c>
      <c r="C27" s="7" t="s">
        <v>27</v>
      </c>
      <c r="D27" s="8" t="s">
        <v>48</v>
      </c>
    </row>
    <row r="28" customFormat="false" ht="15" hidden="false" customHeight="false" outlineLevel="0" collapsed="false">
      <c r="A28" s="5" t="s">
        <v>51</v>
      </c>
      <c r="B28" s="12" t="n">
        <v>32</v>
      </c>
      <c r="C28" s="7" t="s">
        <v>27</v>
      </c>
      <c r="D28" s="8" t="s">
        <v>48</v>
      </c>
    </row>
    <row r="29" customFormat="false" ht="15" hidden="false" customHeight="false" outlineLevel="0" collapsed="false">
      <c r="A29" s="3" t="s">
        <v>52</v>
      </c>
      <c r="B29" s="4"/>
      <c r="C29" s="4"/>
      <c r="D29" s="4"/>
    </row>
    <row r="30" customFormat="false" ht="15" hidden="false" customHeight="false" outlineLevel="0" collapsed="false">
      <c r="A30" s="5" t="s">
        <v>53</v>
      </c>
      <c r="B30" s="9" t="n">
        <v>900</v>
      </c>
      <c r="C30" s="7" t="s">
        <v>54</v>
      </c>
      <c r="D30" s="8" t="s">
        <v>55</v>
      </c>
    </row>
    <row r="31" customFormat="false" ht="15" hidden="false" customHeight="false" outlineLevel="0" collapsed="false">
      <c r="A31" s="5" t="s">
        <v>56</v>
      </c>
      <c r="B31" s="9" t="n">
        <v>300</v>
      </c>
      <c r="C31" s="7" t="s">
        <v>54</v>
      </c>
      <c r="D31" s="8" t="s">
        <v>57</v>
      </c>
    </row>
    <row r="32" customFormat="false" ht="15" hidden="false" customHeight="false" outlineLevel="0" collapsed="false">
      <c r="A32" s="5" t="s">
        <v>58</v>
      </c>
      <c r="B32" s="13" t="n">
        <v>1.5</v>
      </c>
      <c r="C32" s="7" t="s">
        <v>23</v>
      </c>
      <c r="D32" s="8" t="s">
        <v>59</v>
      </c>
    </row>
    <row r="33" customFormat="false" ht="15" hidden="false" customHeight="false" outlineLevel="0" collapsed="false">
      <c r="A33" s="5" t="s">
        <v>60</v>
      </c>
      <c r="B33" s="13" t="n">
        <v>1.5</v>
      </c>
      <c r="C33" s="7" t="s">
        <v>23</v>
      </c>
      <c r="D33" s="8" t="s">
        <v>61</v>
      </c>
    </row>
    <row r="34" customFormat="false" ht="15" hidden="false" customHeight="false" outlineLevel="0" collapsed="false">
      <c r="A34" s="5" t="s">
        <v>62</v>
      </c>
      <c r="B34" s="12" t="n">
        <v>1</v>
      </c>
      <c r="C34" s="7" t="s">
        <v>23</v>
      </c>
      <c r="D34" s="8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8" min="2" style="0" width="15"/>
  </cols>
  <sheetData>
    <row r="1" customFormat="false" ht="17.35" hidden="false" customHeight="false" outlineLevel="0" collapsed="false">
      <c r="A1" s="1" t="s">
        <v>63</v>
      </c>
    </row>
    <row r="2" customFormat="false" ht="15" hidden="false" customHeight="false" outlineLevel="0" collapsed="false">
      <c r="A2" s="2" t="s">
        <v>64</v>
      </c>
    </row>
    <row r="4" customFormat="false" ht="31.5" hidden="false" customHeight="true" outlineLevel="0" collapsed="false">
      <c r="A4" s="14" t="s">
        <v>65</v>
      </c>
      <c r="B4" s="15" t="s">
        <v>66</v>
      </c>
      <c r="C4" s="15" t="s">
        <v>67</v>
      </c>
      <c r="D4" s="15" t="s">
        <v>68</v>
      </c>
      <c r="E4" s="15" t="s">
        <v>69</v>
      </c>
      <c r="F4" s="15" t="s">
        <v>70</v>
      </c>
      <c r="G4" s="15" t="s">
        <v>71</v>
      </c>
      <c r="H4" s="15" t="s">
        <v>72</v>
      </c>
    </row>
    <row r="5" customFormat="false" ht="15" hidden="false" customHeight="false" outlineLevel="0" collapsed="false">
      <c r="A5" s="16" t="s">
        <v>73</v>
      </c>
      <c r="B5" s="17" t="n">
        <f aca="false">Comparison!C6+Comparison!C7</f>
        <v>47200</v>
      </c>
      <c r="C5" s="17" t="n">
        <f aca="false">Comparison!D6+Comparison!D7</f>
        <v>37200</v>
      </c>
      <c r="D5" s="17" t="n">
        <f aca="false">Comparison!H6+Comparison!H7</f>
        <v>196000</v>
      </c>
      <c r="E5" s="17" t="n">
        <f aca="false">0</f>
        <v>0</v>
      </c>
      <c r="F5" s="17" t="n">
        <f aca="false">0</f>
        <v>0</v>
      </c>
      <c r="G5" s="17" t="n">
        <f aca="false">0</f>
        <v>0</v>
      </c>
      <c r="H5" s="17" t="n">
        <f aca="false">D5-G5</f>
        <v>196000</v>
      </c>
    </row>
    <row r="6" customFormat="false" ht="15" hidden="false" customHeight="false" outlineLevel="0" collapsed="false">
      <c r="A6" s="16" t="s">
        <v>74</v>
      </c>
      <c r="B6" s="17" t="n">
        <f aca="false">0</f>
        <v>0</v>
      </c>
      <c r="C6" s="17" t="n">
        <f aca="false">0</f>
        <v>0</v>
      </c>
      <c r="D6" s="17" t="n">
        <f aca="false">0</f>
        <v>0</v>
      </c>
      <c r="E6" s="17" t="n">
        <f aca="false">Comparison!C22+Comparison!C23+Comparison!C24+Comparison!C25+Comparison!C26</f>
        <v>6400</v>
      </c>
      <c r="F6" s="17" t="n">
        <f aca="false">Comparison!D22+Comparison!D23+Comparison!D24+Comparison!D25+Comparison!D26</f>
        <v>0</v>
      </c>
      <c r="G6" s="17" t="n">
        <f aca="false">Comparison!H22+Comparison!H23+Comparison!H24+Comparison!H25+Comparison!H26</f>
        <v>6400</v>
      </c>
      <c r="H6" s="17" t="n">
        <f aca="false">D6-G6</f>
        <v>-6400</v>
      </c>
    </row>
    <row r="7" customFormat="false" ht="15" hidden="false" customHeight="false" outlineLevel="0" collapsed="false">
      <c r="A7" s="16" t="s">
        <v>75</v>
      </c>
      <c r="B7" s="17" t="n">
        <f aca="false">Comparison!C9+Comparison!C10</f>
        <v>800</v>
      </c>
      <c r="C7" s="17" t="n">
        <f aca="false">Comparison!D9+Comparison!D10</f>
        <v>320</v>
      </c>
      <c r="D7" s="17" t="n">
        <f aca="false">Comparison!H9+Comparison!H10</f>
        <v>2080</v>
      </c>
      <c r="E7" s="17" t="n">
        <f aca="false">Comparison!C27+Comparison!C28</f>
        <v>800</v>
      </c>
      <c r="F7" s="17" t="n">
        <f aca="false">Comparison!D27+Comparison!D28</f>
        <v>320</v>
      </c>
      <c r="G7" s="17" t="n">
        <f aca="false">Comparison!H27+Comparison!H28</f>
        <v>2080</v>
      </c>
      <c r="H7" s="17" t="n">
        <f aca="false">D7-G7</f>
        <v>0</v>
      </c>
    </row>
    <row r="8" customFormat="false" ht="15" hidden="false" customHeight="false" outlineLevel="0" collapsed="false">
      <c r="A8" s="16" t="s">
        <v>76</v>
      </c>
      <c r="B8" s="17" t="n">
        <f aca="false">Comparison!C11+Comparison!C12+Comparison!C13</f>
        <v>3200</v>
      </c>
      <c r="C8" s="17" t="n">
        <f aca="false">Comparison!D11+Comparison!D12+Comparison!D13</f>
        <v>0</v>
      </c>
      <c r="D8" s="17" t="n">
        <f aca="false">Comparison!H11+Comparison!H12+Comparison!H13</f>
        <v>3200</v>
      </c>
      <c r="E8" s="17" t="n">
        <f aca="false">Comparison!C29+Comparison!C30+Comparison!C31</f>
        <v>3200</v>
      </c>
      <c r="F8" s="17" t="n">
        <f aca="false">Comparison!D29+Comparison!D30+Comparison!D31</f>
        <v>0</v>
      </c>
      <c r="G8" s="17" t="n">
        <f aca="false">Comparison!H29+Comparison!H30+Comparison!H31</f>
        <v>3200</v>
      </c>
      <c r="H8" s="17" t="n">
        <f aca="false">D8-G8</f>
        <v>0</v>
      </c>
    </row>
    <row r="9" customFormat="false" ht="15" hidden="false" customHeight="false" outlineLevel="0" collapsed="false">
      <c r="A9" s="16" t="s">
        <v>77</v>
      </c>
      <c r="B9" s="17" t="n">
        <f aca="false">Comparison!C14</f>
        <v>2480</v>
      </c>
      <c r="C9" s="17" t="n">
        <f aca="false">Comparison!D14</f>
        <v>0</v>
      </c>
      <c r="D9" s="17" t="n">
        <f aca="false">Comparison!H14</f>
        <v>2480</v>
      </c>
      <c r="E9" s="17" t="n">
        <f aca="false">Comparison!C32</f>
        <v>2480</v>
      </c>
      <c r="F9" s="17" t="n">
        <f aca="false">Comparison!D32</f>
        <v>0</v>
      </c>
      <c r="G9" s="17" t="n">
        <f aca="false">Comparison!H32</f>
        <v>2480</v>
      </c>
      <c r="H9" s="17" t="n">
        <f aca="false">D9-G9</f>
        <v>0</v>
      </c>
    </row>
    <row r="10" customFormat="false" ht="15" hidden="false" customHeight="false" outlineLevel="0" collapsed="false">
      <c r="A10" s="16" t="s">
        <v>78</v>
      </c>
      <c r="B10" s="17" t="n">
        <f aca="false">0</f>
        <v>0</v>
      </c>
      <c r="C10" s="17" t="n">
        <f aca="false">0</f>
        <v>0</v>
      </c>
      <c r="D10" s="17" t="n">
        <f aca="false">0</f>
        <v>0</v>
      </c>
      <c r="E10" s="17" t="n">
        <f aca="false">Comparison!C33+Comparison!C34</f>
        <v>1200</v>
      </c>
      <c r="F10" s="17" t="n">
        <f aca="false">Comparison!D33+Comparison!D34</f>
        <v>1200</v>
      </c>
      <c r="G10" s="17" t="n">
        <f aca="false">Comparison!H33+Comparison!H34</f>
        <v>6000</v>
      </c>
      <c r="H10" s="17" t="n">
        <f aca="false">D10-G10</f>
        <v>-6000</v>
      </c>
    </row>
    <row r="11" customFormat="false" ht="15" hidden="false" customHeight="false" outlineLevel="0" collapsed="false">
      <c r="A11" s="16" t="s">
        <v>79</v>
      </c>
      <c r="B11" s="17" t="n">
        <f aca="false">Comparison!C16</f>
        <v>2080</v>
      </c>
      <c r="C11" s="17" t="n">
        <f aca="false">Comparison!D16</f>
        <v>2080</v>
      </c>
      <c r="D11" s="17" t="n">
        <f aca="false">Comparison!H16</f>
        <v>10400</v>
      </c>
      <c r="E11" s="17" t="n">
        <f aca="false">Comparison!C35+Comparison!C36+Comparison!C37</f>
        <v>8320</v>
      </c>
      <c r="F11" s="17" t="n">
        <f aca="false">Comparison!D35+Comparison!D36+Comparison!D37</f>
        <v>8320</v>
      </c>
      <c r="G11" s="17" t="n">
        <f aca="false">Comparison!H35+Comparison!H36+Comparison!H37</f>
        <v>41600</v>
      </c>
      <c r="H11" s="17" t="n">
        <f aca="false">D11-G11</f>
        <v>-31200</v>
      </c>
    </row>
    <row r="12" customFormat="false" ht="15" hidden="false" customHeight="false" outlineLevel="0" collapsed="false">
      <c r="A12" s="18" t="s">
        <v>80</v>
      </c>
      <c r="B12" s="19" t="n">
        <f aca="false">SUM(B5:B11)</f>
        <v>55760</v>
      </c>
      <c r="C12" s="19" t="n">
        <f aca="false">SUM(C5:C11)</f>
        <v>39600</v>
      </c>
      <c r="D12" s="19" t="n">
        <f aca="false">SUM(D5:D11)</f>
        <v>214160</v>
      </c>
      <c r="E12" s="19" t="n">
        <f aca="false">SUM(E5:E11)</f>
        <v>22400</v>
      </c>
      <c r="F12" s="19" t="n">
        <f aca="false">SUM(F5:F11)</f>
        <v>9840</v>
      </c>
      <c r="G12" s="19" t="n">
        <f aca="false">SUM(G5:G11)</f>
        <v>61760</v>
      </c>
      <c r="H12" s="19" t="n">
        <f aca="false">SUM(H5:H11)</f>
        <v>152400</v>
      </c>
    </row>
    <row r="14" customFormat="false" ht="15" hidden="false" customHeight="false" outlineLevel="0" collapsed="false">
      <c r="A14" s="8" t="s">
        <v>81</v>
      </c>
    </row>
    <row r="15" customFormat="false" ht="15" hidden="false" customHeight="false" outlineLevel="0" collapsed="false">
      <c r="A15" s="0" t="s">
        <v>82</v>
      </c>
      <c r="D15" s="20" t="n">
        <f aca="false">D12-Comparison!H17</f>
        <v>0</v>
      </c>
    </row>
    <row r="16" customFormat="false" ht="15" hidden="false" customHeight="false" outlineLevel="0" collapsed="false">
      <c r="A16" s="0" t="s">
        <v>83</v>
      </c>
      <c r="G16" s="20" t="n">
        <f aca="false">G12-Comparison!H38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30"/>
    <col collapsed="false" customWidth="true" hidden="false" outlineLevel="0" max="8" min="3" style="0" width="13"/>
  </cols>
  <sheetData>
    <row r="1" customFormat="false" ht="17.35" hidden="false" customHeight="false" outlineLevel="0" collapsed="false">
      <c r="A1" s="1" t="s">
        <v>84</v>
      </c>
    </row>
    <row r="2" customFormat="false" ht="15" hidden="false" customHeight="false" outlineLevel="0" collapsed="false">
      <c r="A2" s="2" t="s">
        <v>85</v>
      </c>
    </row>
    <row r="4" customFormat="false" ht="15" hidden="false" customHeight="false" outlineLevel="0" collapsed="false">
      <c r="A4" s="21" t="s">
        <v>86</v>
      </c>
      <c r="B4" s="21" t="s">
        <v>87</v>
      </c>
      <c r="C4" s="22" t="s">
        <v>88</v>
      </c>
      <c r="D4" s="22" t="s">
        <v>89</v>
      </c>
      <c r="E4" s="22" t="s">
        <v>90</v>
      </c>
      <c r="F4" s="22" t="s">
        <v>91</v>
      </c>
      <c r="G4" s="22" t="s">
        <v>92</v>
      </c>
      <c r="H4" s="22" t="s">
        <v>93</v>
      </c>
    </row>
    <row r="5" customFormat="false" ht="15" hidden="false" customHeight="false" outlineLevel="0" collapsed="false">
      <c r="A5" s="23" t="s">
        <v>94</v>
      </c>
      <c r="B5" s="24"/>
      <c r="C5" s="24"/>
      <c r="D5" s="24"/>
      <c r="E5" s="24"/>
      <c r="F5" s="24"/>
      <c r="G5" s="24"/>
      <c r="H5" s="24"/>
    </row>
    <row r="6" customFormat="false" ht="15" hidden="false" customHeight="false" outlineLevel="0" collapsed="false">
      <c r="A6" s="16" t="s">
        <v>95</v>
      </c>
      <c r="B6" s="25" t="s">
        <v>96</v>
      </c>
      <c r="C6" s="26" t="n">
        <f aca="false">Inputs!$B$9*Inputs!$B$6*12*(1+Inputs!$B$11)^0</f>
        <v>37200</v>
      </c>
      <c r="D6" s="26" t="n">
        <f aca="false">Inputs!$B$9*Inputs!$B$6*12*(1+Inputs!$B$11)^1</f>
        <v>37200</v>
      </c>
      <c r="E6" s="26" t="n">
        <f aca="false">Inputs!$B$9*Inputs!$B$6*12*(1+Inputs!$B$11)^2</f>
        <v>37200</v>
      </c>
      <c r="F6" s="26" t="n">
        <f aca="false">Inputs!$B$9*Inputs!$B$6*12*(1+Inputs!$B$11)^3</f>
        <v>37200</v>
      </c>
      <c r="G6" s="26" t="n">
        <f aca="false">Inputs!$B$9*Inputs!$B$6*12*(1+Inputs!$B$11)^4</f>
        <v>37200</v>
      </c>
      <c r="H6" s="27" t="n">
        <f aca="false">SUM(C6:G6)</f>
        <v>186000</v>
      </c>
    </row>
    <row r="7" customFormat="false" ht="15" hidden="false" customHeight="false" outlineLevel="0" collapsed="false">
      <c r="A7" s="16" t="s">
        <v>97</v>
      </c>
      <c r="B7" s="25" t="s">
        <v>98</v>
      </c>
      <c r="C7" s="26" t="n">
        <f aca="false">Inputs!$B$10</f>
        <v>10000</v>
      </c>
      <c r="D7" s="26" t="n">
        <f aca="false">0</f>
        <v>0</v>
      </c>
      <c r="E7" s="26" t="n">
        <f aca="false">0</f>
        <v>0</v>
      </c>
      <c r="F7" s="26" t="n">
        <f aca="false">0</f>
        <v>0</v>
      </c>
      <c r="G7" s="26" t="n">
        <f aca="false">0</f>
        <v>0</v>
      </c>
      <c r="H7" s="27" t="n">
        <f aca="false">SUM(C7:G7)</f>
        <v>10000</v>
      </c>
    </row>
    <row r="8" customFormat="false" ht="15" hidden="false" customHeight="false" outlineLevel="0" collapsed="false">
      <c r="A8" s="16" t="s">
        <v>74</v>
      </c>
      <c r="B8" s="25" t="s">
        <v>99</v>
      </c>
      <c r="C8" s="26" t="n">
        <f aca="false">0</f>
        <v>0</v>
      </c>
      <c r="D8" s="26" t="n">
        <f aca="false">0</f>
        <v>0</v>
      </c>
      <c r="E8" s="26" t="n">
        <f aca="false">0</f>
        <v>0</v>
      </c>
      <c r="F8" s="26" t="n">
        <f aca="false">0</f>
        <v>0</v>
      </c>
      <c r="G8" s="26" t="n">
        <f aca="false">0</f>
        <v>0</v>
      </c>
      <c r="H8" s="27" t="n">
        <f aca="false">SUM(C8:G8)</f>
        <v>0</v>
      </c>
    </row>
    <row r="9" customFormat="false" ht="15" hidden="false" customHeight="false" outlineLevel="0" collapsed="false">
      <c r="A9" s="16" t="s">
        <v>100</v>
      </c>
      <c r="B9" s="25" t="s">
        <v>101</v>
      </c>
      <c r="C9" s="26" t="n">
        <f aca="false">Inputs!$B$15*Inputs!$B$7</f>
        <v>800</v>
      </c>
      <c r="D9" s="26" t="n">
        <f aca="false">0</f>
        <v>0</v>
      </c>
      <c r="E9" s="26" t="n">
        <f aca="false">0</f>
        <v>0</v>
      </c>
      <c r="F9" s="26" t="n">
        <f aca="false">0</f>
        <v>0</v>
      </c>
      <c r="G9" s="26" t="n">
        <f aca="false">0</f>
        <v>0</v>
      </c>
      <c r="H9" s="27" t="n">
        <f aca="false">SUM(C9:G9)</f>
        <v>800</v>
      </c>
    </row>
    <row r="10" customFormat="false" ht="15" hidden="false" customHeight="false" outlineLevel="0" collapsed="false">
      <c r="A10" s="16" t="s">
        <v>102</v>
      </c>
      <c r="B10" s="25" t="s">
        <v>103</v>
      </c>
      <c r="C10" s="26" t="n">
        <f aca="false">0</f>
        <v>0</v>
      </c>
      <c r="D10" s="26" t="n">
        <f aca="false">Inputs!$B$17*Inputs!$B$7</f>
        <v>320</v>
      </c>
      <c r="E10" s="26" t="n">
        <f aca="false">Inputs!$B$17*Inputs!$B$7</f>
        <v>320</v>
      </c>
      <c r="F10" s="26" t="n">
        <f aca="false">Inputs!$B$17*Inputs!$B$7</f>
        <v>320</v>
      </c>
      <c r="G10" s="26" t="n">
        <f aca="false">Inputs!$B$17*Inputs!$B$7</f>
        <v>320</v>
      </c>
      <c r="H10" s="27" t="n">
        <f aca="false">SUM(C10:G10)</f>
        <v>1280</v>
      </c>
    </row>
    <row r="11" customFormat="false" ht="15" hidden="false" customHeight="false" outlineLevel="0" collapsed="false">
      <c r="A11" s="16" t="s">
        <v>37</v>
      </c>
      <c r="B11" s="25" t="s">
        <v>101</v>
      </c>
      <c r="C11" s="26" t="n">
        <f aca="false">Inputs!$B$19*Inputs!$B$7</f>
        <v>1600</v>
      </c>
      <c r="D11" s="26" t="n">
        <f aca="false">0</f>
        <v>0</v>
      </c>
      <c r="E11" s="26" t="n">
        <f aca="false">0</f>
        <v>0</v>
      </c>
      <c r="F11" s="26" t="n">
        <f aca="false">0</f>
        <v>0</v>
      </c>
      <c r="G11" s="26" t="n">
        <f aca="false">0</f>
        <v>0</v>
      </c>
      <c r="H11" s="27" t="n">
        <f aca="false">SUM(C11:G11)</f>
        <v>1600</v>
      </c>
    </row>
    <row r="12" customFormat="false" ht="15" hidden="false" customHeight="false" outlineLevel="0" collapsed="false">
      <c r="A12" s="16" t="s">
        <v>39</v>
      </c>
      <c r="B12" s="25" t="s">
        <v>101</v>
      </c>
      <c r="C12" s="26" t="n">
        <f aca="false">Inputs!$B$20*Inputs!$B$7</f>
        <v>800</v>
      </c>
      <c r="D12" s="26" t="n">
        <f aca="false">0</f>
        <v>0</v>
      </c>
      <c r="E12" s="26" t="n">
        <f aca="false">0</f>
        <v>0</v>
      </c>
      <c r="F12" s="26" t="n">
        <f aca="false">0</f>
        <v>0</v>
      </c>
      <c r="G12" s="26" t="n">
        <f aca="false">0</f>
        <v>0</v>
      </c>
      <c r="H12" s="27" t="n">
        <f aca="false">SUM(C12:G12)</f>
        <v>800</v>
      </c>
    </row>
    <row r="13" customFormat="false" ht="15" hidden="false" customHeight="false" outlineLevel="0" collapsed="false">
      <c r="A13" s="16" t="s">
        <v>41</v>
      </c>
      <c r="B13" s="25" t="s">
        <v>101</v>
      </c>
      <c r="C13" s="26" t="n">
        <f aca="false">Inputs!$B$21*Inputs!$B$7</f>
        <v>800</v>
      </c>
      <c r="D13" s="26" t="n">
        <f aca="false">0</f>
        <v>0</v>
      </c>
      <c r="E13" s="26" t="n">
        <f aca="false">0</f>
        <v>0</v>
      </c>
      <c r="F13" s="26" t="n">
        <f aca="false">0</f>
        <v>0</v>
      </c>
      <c r="G13" s="26" t="n">
        <f aca="false">0</f>
        <v>0</v>
      </c>
      <c r="H13" s="27" t="n">
        <f aca="false">SUM(C13:G13)</f>
        <v>800</v>
      </c>
    </row>
    <row r="14" customFormat="false" ht="15" hidden="false" customHeight="false" outlineLevel="0" collapsed="false">
      <c r="A14" s="16" t="s">
        <v>77</v>
      </c>
      <c r="B14" s="25" t="s">
        <v>104</v>
      </c>
      <c r="C14" s="26" t="n">
        <f aca="false">Inputs!$B$22*Inputs!$B$6*Inputs!$B$7</f>
        <v>2480</v>
      </c>
      <c r="D14" s="26" t="n">
        <f aca="false">0</f>
        <v>0</v>
      </c>
      <c r="E14" s="26" t="n">
        <f aca="false">0</f>
        <v>0</v>
      </c>
      <c r="F14" s="26" t="n">
        <f aca="false">0</f>
        <v>0</v>
      </c>
      <c r="G14" s="26" t="n">
        <f aca="false">0</f>
        <v>0</v>
      </c>
      <c r="H14" s="27" t="n">
        <f aca="false">SUM(C14:G14)</f>
        <v>2480</v>
      </c>
    </row>
    <row r="15" customFormat="false" ht="15" hidden="false" customHeight="false" outlineLevel="0" collapsed="false">
      <c r="A15" s="16" t="s">
        <v>78</v>
      </c>
      <c r="B15" s="25" t="s">
        <v>105</v>
      </c>
      <c r="C15" s="26" t="n">
        <f aca="false">0</f>
        <v>0</v>
      </c>
      <c r="D15" s="26" t="n">
        <f aca="false">0</f>
        <v>0</v>
      </c>
      <c r="E15" s="26" t="n">
        <f aca="false">0</f>
        <v>0</v>
      </c>
      <c r="F15" s="26" t="n">
        <f aca="false">0</f>
        <v>0</v>
      </c>
      <c r="G15" s="26" t="n">
        <f aca="false">0</f>
        <v>0</v>
      </c>
      <c r="H15" s="27" t="n">
        <f aca="false">SUM(C15:G15)</f>
        <v>0</v>
      </c>
    </row>
    <row r="16" customFormat="false" ht="15" hidden="false" customHeight="false" outlineLevel="0" collapsed="false">
      <c r="A16" s="16" t="s">
        <v>106</v>
      </c>
      <c r="B16" s="25" t="s">
        <v>107</v>
      </c>
      <c r="C16" s="26" t="n">
        <f aca="false">Inputs!$B$12*52*Inputs!$B$7</f>
        <v>2080</v>
      </c>
      <c r="D16" s="26" t="n">
        <f aca="false">Inputs!$B$12*52*Inputs!$B$7</f>
        <v>2080</v>
      </c>
      <c r="E16" s="26" t="n">
        <f aca="false">Inputs!$B$12*52*Inputs!$B$7</f>
        <v>2080</v>
      </c>
      <c r="F16" s="26" t="n">
        <f aca="false">Inputs!$B$12*52*Inputs!$B$7</f>
        <v>2080</v>
      </c>
      <c r="G16" s="26" t="n">
        <f aca="false">Inputs!$B$12*52*Inputs!$B$7</f>
        <v>2080</v>
      </c>
      <c r="H16" s="27" t="n">
        <f aca="false">SUM(C16:G16)</f>
        <v>10400</v>
      </c>
    </row>
    <row r="17" customFormat="false" ht="15" hidden="false" customHeight="false" outlineLevel="0" collapsed="false">
      <c r="A17" s="18" t="s">
        <v>108</v>
      </c>
      <c r="B17" s="28"/>
      <c r="C17" s="19" t="n">
        <f aca="false">SUM(C6:C16)</f>
        <v>55760</v>
      </c>
      <c r="D17" s="19" t="n">
        <f aca="false">SUM(D6:D16)</f>
        <v>39600</v>
      </c>
      <c r="E17" s="19" t="n">
        <f aca="false">SUM(E6:E16)</f>
        <v>39600</v>
      </c>
      <c r="F17" s="19" t="n">
        <f aca="false">SUM(F6:F16)</f>
        <v>39600</v>
      </c>
      <c r="G17" s="19" t="n">
        <f aca="false">SUM(G6:G16)</f>
        <v>39600</v>
      </c>
      <c r="H17" s="19" t="n">
        <f aca="false">SUM(H6:H16)</f>
        <v>214160</v>
      </c>
    </row>
    <row r="19" customFormat="false" ht="15" hidden="false" customHeight="false" outlineLevel="0" collapsed="false">
      <c r="A19" s="23" t="s">
        <v>109</v>
      </c>
      <c r="B19" s="24"/>
      <c r="C19" s="24"/>
      <c r="D19" s="24"/>
      <c r="E19" s="24"/>
      <c r="F19" s="24"/>
      <c r="G19" s="24"/>
      <c r="H19" s="24"/>
    </row>
    <row r="20" customFormat="false" ht="15" hidden="false" customHeight="false" outlineLevel="0" collapsed="false">
      <c r="A20" s="16" t="s">
        <v>95</v>
      </c>
      <c r="B20" s="25" t="s">
        <v>110</v>
      </c>
      <c r="C20" s="26" t="n">
        <f aca="false">0</f>
        <v>0</v>
      </c>
      <c r="D20" s="26" t="n">
        <f aca="false">0</f>
        <v>0</v>
      </c>
      <c r="E20" s="26" t="n">
        <f aca="false">0</f>
        <v>0</v>
      </c>
      <c r="F20" s="26" t="n">
        <f aca="false">0</f>
        <v>0</v>
      </c>
      <c r="G20" s="26" t="n">
        <f aca="false">0</f>
        <v>0</v>
      </c>
      <c r="H20" s="27" t="n">
        <f aca="false">SUM(C20:G20)</f>
        <v>0</v>
      </c>
    </row>
    <row r="21" customFormat="false" ht="15" hidden="false" customHeight="false" outlineLevel="0" collapsed="false">
      <c r="A21" s="16" t="s">
        <v>97</v>
      </c>
      <c r="B21" s="25" t="s">
        <v>111</v>
      </c>
      <c r="C21" s="26" t="n">
        <f aca="false">0</f>
        <v>0</v>
      </c>
      <c r="D21" s="26" t="n">
        <f aca="false">0</f>
        <v>0</v>
      </c>
      <c r="E21" s="26" t="n">
        <f aca="false">0</f>
        <v>0</v>
      </c>
      <c r="F21" s="26" t="n">
        <f aca="false">0</f>
        <v>0</v>
      </c>
      <c r="G21" s="26" t="n">
        <f aca="false">0</f>
        <v>0</v>
      </c>
      <c r="H21" s="27" t="n">
        <f aca="false">SUM(C21:G21)</f>
        <v>0</v>
      </c>
    </row>
    <row r="22" customFormat="false" ht="15" hidden="false" customHeight="false" outlineLevel="0" collapsed="false">
      <c r="A22" s="16" t="s">
        <v>112</v>
      </c>
      <c r="B22" s="25" t="s">
        <v>101</v>
      </c>
      <c r="C22" s="26" t="n">
        <f aca="false">Inputs!$B$24*Inputs!$B$7</f>
        <v>960</v>
      </c>
      <c r="D22" s="26" t="n">
        <f aca="false">0</f>
        <v>0</v>
      </c>
      <c r="E22" s="26" t="n">
        <f aca="false">0</f>
        <v>0</v>
      </c>
      <c r="F22" s="26" t="n">
        <f aca="false">0</f>
        <v>0</v>
      </c>
      <c r="G22" s="26" t="n">
        <f aca="false">0</f>
        <v>0</v>
      </c>
      <c r="H22" s="27" t="n">
        <f aca="false">SUM(C22:G22)</f>
        <v>960</v>
      </c>
    </row>
    <row r="23" customFormat="false" ht="15" hidden="false" customHeight="false" outlineLevel="0" collapsed="false">
      <c r="A23" s="16" t="s">
        <v>47</v>
      </c>
      <c r="B23" s="25" t="s">
        <v>101</v>
      </c>
      <c r="C23" s="26" t="n">
        <f aca="false">Inputs!$B$25*Inputs!$B$7</f>
        <v>1600</v>
      </c>
      <c r="D23" s="26" t="n">
        <f aca="false">0</f>
        <v>0</v>
      </c>
      <c r="E23" s="26" t="n">
        <f aca="false">0</f>
        <v>0</v>
      </c>
      <c r="F23" s="26" t="n">
        <f aca="false">0</f>
        <v>0</v>
      </c>
      <c r="G23" s="26" t="n">
        <f aca="false">0</f>
        <v>0</v>
      </c>
      <c r="H23" s="27" t="n">
        <f aca="false">SUM(C23:G23)</f>
        <v>1600</v>
      </c>
    </row>
    <row r="24" customFormat="false" ht="15" hidden="false" customHeight="false" outlineLevel="0" collapsed="false">
      <c r="A24" s="16" t="s">
        <v>113</v>
      </c>
      <c r="B24" s="25" t="s">
        <v>101</v>
      </c>
      <c r="C24" s="26" t="n">
        <f aca="false">Inputs!$B$26*Inputs!$B$7</f>
        <v>1600</v>
      </c>
      <c r="D24" s="26" t="n">
        <f aca="false">0</f>
        <v>0</v>
      </c>
      <c r="E24" s="26" t="n">
        <f aca="false">0</f>
        <v>0</v>
      </c>
      <c r="F24" s="26" t="n">
        <f aca="false">0</f>
        <v>0</v>
      </c>
      <c r="G24" s="26" t="n">
        <f aca="false">0</f>
        <v>0</v>
      </c>
      <c r="H24" s="27" t="n">
        <f aca="false">SUM(C24:G24)</f>
        <v>1600</v>
      </c>
    </row>
    <row r="25" customFormat="false" ht="15" hidden="false" customHeight="false" outlineLevel="0" collapsed="false">
      <c r="A25" s="16" t="s">
        <v>50</v>
      </c>
      <c r="B25" s="25" t="s">
        <v>101</v>
      </c>
      <c r="C25" s="26" t="n">
        <f aca="false">Inputs!$B$27*Inputs!$B$7</f>
        <v>960</v>
      </c>
      <c r="D25" s="26" t="n">
        <f aca="false">0</f>
        <v>0</v>
      </c>
      <c r="E25" s="26" t="n">
        <f aca="false">0</f>
        <v>0</v>
      </c>
      <c r="F25" s="26" t="n">
        <f aca="false">0</f>
        <v>0</v>
      </c>
      <c r="G25" s="26" t="n">
        <f aca="false">0</f>
        <v>0</v>
      </c>
      <c r="H25" s="27" t="n">
        <f aca="false">SUM(C25:G25)</f>
        <v>960</v>
      </c>
    </row>
    <row r="26" customFormat="false" ht="15" hidden="false" customHeight="false" outlineLevel="0" collapsed="false">
      <c r="A26" s="16" t="s">
        <v>114</v>
      </c>
      <c r="B26" s="25" t="s">
        <v>101</v>
      </c>
      <c r="C26" s="26" t="n">
        <f aca="false">Inputs!$B$28*Inputs!$B$7</f>
        <v>1280</v>
      </c>
      <c r="D26" s="26" t="n">
        <f aca="false">0</f>
        <v>0</v>
      </c>
      <c r="E26" s="26" t="n">
        <f aca="false">0</f>
        <v>0</v>
      </c>
      <c r="F26" s="26" t="n">
        <f aca="false">0</f>
        <v>0</v>
      </c>
      <c r="G26" s="26" t="n">
        <f aca="false">0</f>
        <v>0</v>
      </c>
      <c r="H26" s="27" t="n">
        <f aca="false">SUM(C26:G26)</f>
        <v>1280</v>
      </c>
    </row>
    <row r="27" customFormat="false" ht="15" hidden="false" customHeight="false" outlineLevel="0" collapsed="false">
      <c r="A27" s="16" t="s">
        <v>100</v>
      </c>
      <c r="B27" s="25" t="s">
        <v>101</v>
      </c>
      <c r="C27" s="26" t="n">
        <f aca="false">Inputs!$B$14*Inputs!$B$7</f>
        <v>800</v>
      </c>
      <c r="D27" s="26" t="n">
        <f aca="false">0</f>
        <v>0</v>
      </c>
      <c r="E27" s="26" t="n">
        <f aca="false">0</f>
        <v>0</v>
      </c>
      <c r="F27" s="26" t="n">
        <f aca="false">0</f>
        <v>0</v>
      </c>
      <c r="G27" s="26" t="n">
        <f aca="false">0</f>
        <v>0</v>
      </c>
      <c r="H27" s="27" t="n">
        <f aca="false">SUM(C27:G27)</f>
        <v>800</v>
      </c>
    </row>
    <row r="28" customFormat="false" ht="15" hidden="false" customHeight="false" outlineLevel="0" collapsed="false">
      <c r="A28" s="16" t="s">
        <v>102</v>
      </c>
      <c r="B28" s="25" t="s">
        <v>103</v>
      </c>
      <c r="C28" s="26" t="n">
        <f aca="false">0</f>
        <v>0</v>
      </c>
      <c r="D28" s="26" t="n">
        <f aca="false">Inputs!$B$16*Inputs!$B$7</f>
        <v>320</v>
      </c>
      <c r="E28" s="26" t="n">
        <f aca="false">Inputs!$B$16*Inputs!$B$7</f>
        <v>320</v>
      </c>
      <c r="F28" s="26" t="n">
        <f aca="false">Inputs!$B$16*Inputs!$B$7</f>
        <v>320</v>
      </c>
      <c r="G28" s="26" t="n">
        <f aca="false">Inputs!$B$16*Inputs!$B$7</f>
        <v>320</v>
      </c>
      <c r="H28" s="27" t="n">
        <f aca="false">SUM(C28:G28)</f>
        <v>1280</v>
      </c>
    </row>
    <row r="29" customFormat="false" ht="15" hidden="false" customHeight="false" outlineLevel="0" collapsed="false">
      <c r="A29" s="16" t="s">
        <v>37</v>
      </c>
      <c r="B29" s="25" t="s">
        <v>101</v>
      </c>
      <c r="C29" s="26" t="n">
        <f aca="false">Inputs!$B$19*Inputs!$B$7</f>
        <v>1600</v>
      </c>
      <c r="D29" s="26" t="n">
        <f aca="false">0</f>
        <v>0</v>
      </c>
      <c r="E29" s="26" t="n">
        <f aca="false">0</f>
        <v>0</v>
      </c>
      <c r="F29" s="26" t="n">
        <f aca="false">0</f>
        <v>0</v>
      </c>
      <c r="G29" s="26" t="n">
        <f aca="false">0</f>
        <v>0</v>
      </c>
      <c r="H29" s="27" t="n">
        <f aca="false">SUM(C29:G29)</f>
        <v>1600</v>
      </c>
    </row>
    <row r="30" customFormat="false" ht="15" hidden="false" customHeight="false" outlineLevel="0" collapsed="false">
      <c r="A30" s="16" t="s">
        <v>39</v>
      </c>
      <c r="B30" s="25" t="s">
        <v>101</v>
      </c>
      <c r="C30" s="26" t="n">
        <f aca="false">Inputs!$B$20*Inputs!$B$7</f>
        <v>800</v>
      </c>
      <c r="D30" s="26" t="n">
        <f aca="false">0</f>
        <v>0</v>
      </c>
      <c r="E30" s="26" t="n">
        <f aca="false">0</f>
        <v>0</v>
      </c>
      <c r="F30" s="26" t="n">
        <f aca="false">0</f>
        <v>0</v>
      </c>
      <c r="G30" s="26" t="n">
        <f aca="false">0</f>
        <v>0</v>
      </c>
      <c r="H30" s="27" t="n">
        <f aca="false">SUM(C30:G30)</f>
        <v>800</v>
      </c>
    </row>
    <row r="31" customFormat="false" ht="15" hidden="false" customHeight="false" outlineLevel="0" collapsed="false">
      <c r="A31" s="16" t="s">
        <v>41</v>
      </c>
      <c r="B31" s="25" t="s">
        <v>101</v>
      </c>
      <c r="C31" s="26" t="n">
        <f aca="false">Inputs!$B$21*Inputs!$B$7</f>
        <v>800</v>
      </c>
      <c r="D31" s="26" t="n">
        <f aca="false">0</f>
        <v>0</v>
      </c>
      <c r="E31" s="26" t="n">
        <f aca="false">0</f>
        <v>0</v>
      </c>
      <c r="F31" s="26" t="n">
        <f aca="false">0</f>
        <v>0</v>
      </c>
      <c r="G31" s="26" t="n">
        <f aca="false">0</f>
        <v>0</v>
      </c>
      <c r="H31" s="27" t="n">
        <f aca="false">SUM(C31:G31)</f>
        <v>800</v>
      </c>
    </row>
    <row r="32" customFormat="false" ht="15" hidden="false" customHeight="false" outlineLevel="0" collapsed="false">
      <c r="A32" s="16" t="s">
        <v>77</v>
      </c>
      <c r="B32" s="25" t="s">
        <v>104</v>
      </c>
      <c r="C32" s="26" t="n">
        <f aca="false">Inputs!$B$22*Inputs!$B$6*Inputs!$B$7</f>
        <v>2480</v>
      </c>
      <c r="D32" s="26" t="n">
        <f aca="false">0</f>
        <v>0</v>
      </c>
      <c r="E32" s="26" t="n">
        <f aca="false">0</f>
        <v>0</v>
      </c>
      <c r="F32" s="26" t="n">
        <f aca="false">0</f>
        <v>0</v>
      </c>
      <c r="G32" s="26" t="n">
        <f aca="false">0</f>
        <v>0</v>
      </c>
      <c r="H32" s="27" t="n">
        <f aca="false">SUM(C32:G32)</f>
        <v>2480</v>
      </c>
    </row>
    <row r="33" customFormat="false" ht="15" hidden="false" customHeight="false" outlineLevel="0" collapsed="false">
      <c r="A33" s="16" t="s">
        <v>53</v>
      </c>
      <c r="B33" s="25" t="s">
        <v>54</v>
      </c>
      <c r="C33" s="26" t="n">
        <f aca="false">Inputs!$B$30</f>
        <v>900</v>
      </c>
      <c r="D33" s="26" t="n">
        <f aca="false">Inputs!$B$30</f>
        <v>900</v>
      </c>
      <c r="E33" s="26" t="n">
        <f aca="false">Inputs!$B$30</f>
        <v>900</v>
      </c>
      <c r="F33" s="26" t="n">
        <f aca="false">Inputs!$B$30</f>
        <v>900</v>
      </c>
      <c r="G33" s="26" t="n">
        <f aca="false">Inputs!$B$30</f>
        <v>900</v>
      </c>
      <c r="H33" s="27" t="n">
        <f aca="false">SUM(C33:G33)</f>
        <v>4500</v>
      </c>
    </row>
    <row r="34" customFormat="false" ht="15" hidden="false" customHeight="false" outlineLevel="0" collapsed="false">
      <c r="A34" s="16" t="s">
        <v>56</v>
      </c>
      <c r="B34" s="25" t="s">
        <v>54</v>
      </c>
      <c r="C34" s="26" t="n">
        <f aca="false">Inputs!$B$31</f>
        <v>300</v>
      </c>
      <c r="D34" s="26" t="n">
        <f aca="false">Inputs!$B$31</f>
        <v>300</v>
      </c>
      <c r="E34" s="26" t="n">
        <f aca="false">Inputs!$B$31</f>
        <v>300</v>
      </c>
      <c r="F34" s="26" t="n">
        <f aca="false">Inputs!$B$31</f>
        <v>300</v>
      </c>
      <c r="G34" s="26" t="n">
        <f aca="false">Inputs!$B$31</f>
        <v>300</v>
      </c>
      <c r="H34" s="27" t="n">
        <f aca="false">SUM(C34:G34)</f>
        <v>1500</v>
      </c>
    </row>
    <row r="35" customFormat="false" ht="15" hidden="false" customHeight="false" outlineLevel="0" collapsed="false">
      <c r="A35" s="16" t="s">
        <v>58</v>
      </c>
      <c r="B35" s="25" t="s">
        <v>107</v>
      </c>
      <c r="C35" s="26" t="n">
        <f aca="false">Inputs!$B$32*52*Inputs!$B$7</f>
        <v>3120</v>
      </c>
      <c r="D35" s="26" t="n">
        <f aca="false">Inputs!$B$32*52*Inputs!$B$7</f>
        <v>3120</v>
      </c>
      <c r="E35" s="26" t="n">
        <f aca="false">Inputs!$B$32*52*Inputs!$B$7</f>
        <v>3120</v>
      </c>
      <c r="F35" s="26" t="n">
        <f aca="false">Inputs!$B$32*52*Inputs!$B$7</f>
        <v>3120</v>
      </c>
      <c r="G35" s="26" t="n">
        <f aca="false">Inputs!$B$32*52*Inputs!$B$7</f>
        <v>3120</v>
      </c>
      <c r="H35" s="27" t="n">
        <f aca="false">SUM(C35:G35)</f>
        <v>15600</v>
      </c>
    </row>
    <row r="36" customFormat="false" ht="15" hidden="false" customHeight="false" outlineLevel="0" collapsed="false">
      <c r="A36" s="16" t="s">
        <v>60</v>
      </c>
      <c r="B36" s="25" t="s">
        <v>107</v>
      </c>
      <c r="C36" s="26" t="n">
        <f aca="false">Inputs!$B$33*52*Inputs!$B$7</f>
        <v>3120</v>
      </c>
      <c r="D36" s="26" t="n">
        <f aca="false">Inputs!$B$33*52*Inputs!$B$7</f>
        <v>3120</v>
      </c>
      <c r="E36" s="26" t="n">
        <f aca="false">Inputs!$B$33*52*Inputs!$B$7</f>
        <v>3120</v>
      </c>
      <c r="F36" s="26" t="n">
        <f aca="false">Inputs!$B$33*52*Inputs!$B$7</f>
        <v>3120</v>
      </c>
      <c r="G36" s="26" t="n">
        <f aca="false">Inputs!$B$33*52*Inputs!$B$7</f>
        <v>3120</v>
      </c>
      <c r="H36" s="27" t="n">
        <f aca="false">SUM(C36:G36)</f>
        <v>15600</v>
      </c>
    </row>
    <row r="37" customFormat="false" ht="15" hidden="false" customHeight="false" outlineLevel="0" collapsed="false">
      <c r="A37" s="16" t="s">
        <v>62</v>
      </c>
      <c r="B37" s="25" t="s">
        <v>107</v>
      </c>
      <c r="C37" s="26" t="n">
        <f aca="false">Inputs!$B$34*52*Inputs!$B$7</f>
        <v>2080</v>
      </c>
      <c r="D37" s="26" t="n">
        <f aca="false">Inputs!$B$34*52*Inputs!$B$7</f>
        <v>2080</v>
      </c>
      <c r="E37" s="26" t="n">
        <f aca="false">Inputs!$B$34*52*Inputs!$B$7</f>
        <v>2080</v>
      </c>
      <c r="F37" s="26" t="n">
        <f aca="false">Inputs!$B$34*52*Inputs!$B$7</f>
        <v>2080</v>
      </c>
      <c r="G37" s="26" t="n">
        <f aca="false">Inputs!$B$34*52*Inputs!$B$7</f>
        <v>2080</v>
      </c>
      <c r="H37" s="27" t="n">
        <f aca="false">SUM(C37:G37)</f>
        <v>10400</v>
      </c>
    </row>
    <row r="38" customFormat="false" ht="15" hidden="false" customHeight="false" outlineLevel="0" collapsed="false">
      <c r="A38" s="18" t="s">
        <v>115</v>
      </c>
      <c r="B38" s="28"/>
      <c r="C38" s="19" t="n">
        <f aca="false">SUM(C20:C37)</f>
        <v>22400</v>
      </c>
      <c r="D38" s="19" t="n">
        <f aca="false">SUM(D20:D37)</f>
        <v>9840</v>
      </c>
      <c r="E38" s="19" t="n">
        <f aca="false">SUM(E20:E37)</f>
        <v>9840</v>
      </c>
      <c r="F38" s="19" t="n">
        <f aca="false">SUM(F20:F37)</f>
        <v>9840</v>
      </c>
      <c r="G38" s="19" t="n">
        <f aca="false">SUM(G20:G37)</f>
        <v>9840</v>
      </c>
      <c r="H38" s="19" t="n">
        <f aca="false">SUM(H20:H37)</f>
        <v>61760</v>
      </c>
    </row>
    <row r="40" customFormat="false" ht="15" hidden="false" customHeight="false" outlineLevel="0" collapsed="false">
      <c r="A40" s="29" t="s">
        <v>116</v>
      </c>
      <c r="C40" s="30" t="n">
        <f aca="false">SUM($C$17:C17)</f>
        <v>55760</v>
      </c>
      <c r="D40" s="30" t="n">
        <f aca="false">SUM($C$17:D17)</f>
        <v>95360</v>
      </c>
      <c r="E40" s="30" t="n">
        <f aca="false">SUM($C$17:E17)</f>
        <v>134960</v>
      </c>
      <c r="F40" s="30" t="n">
        <f aca="false">SUM($C$17:F17)</f>
        <v>174560</v>
      </c>
      <c r="G40" s="30" t="n">
        <f aca="false">SUM($C$17:G17)</f>
        <v>214160</v>
      </c>
    </row>
    <row r="41" customFormat="false" ht="15" hidden="false" customHeight="false" outlineLevel="0" collapsed="false">
      <c r="A41" s="29" t="s">
        <v>117</v>
      </c>
      <c r="C41" s="30" t="n">
        <f aca="false">SUM($C$38:C38)</f>
        <v>22400</v>
      </c>
      <c r="D41" s="30" t="n">
        <f aca="false">SUM($C$38:D38)</f>
        <v>32240</v>
      </c>
      <c r="E41" s="30" t="n">
        <f aca="false">SUM($C$38:E38)</f>
        <v>42080</v>
      </c>
      <c r="F41" s="30" t="n">
        <f aca="false">SUM($C$38:F38)</f>
        <v>51920</v>
      </c>
      <c r="G41" s="30" t="n">
        <f aca="false">SUM($C$38:G38)</f>
        <v>61760</v>
      </c>
    </row>
    <row r="42" customFormat="false" ht="15" hidden="false" customHeight="false" outlineLevel="0" collapsed="false">
      <c r="A42" s="29" t="s">
        <v>118</v>
      </c>
      <c r="C42" s="30" t="n">
        <f aca="false">C40-C41</f>
        <v>33360</v>
      </c>
      <c r="D42" s="30" t="n">
        <f aca="false">D40-D41</f>
        <v>63120</v>
      </c>
      <c r="E42" s="30" t="n">
        <f aca="false">E40-E41</f>
        <v>92880</v>
      </c>
      <c r="F42" s="30" t="n">
        <f aca="false">F40-F41</f>
        <v>122640</v>
      </c>
      <c r="G42" s="30" t="n">
        <f aca="false">G40-G41</f>
        <v>152400</v>
      </c>
    </row>
    <row r="44" customFormat="false" ht="15" hidden="false" customHeight="false" outlineLevel="0" collapsed="false">
      <c r="A44" s="29" t="s">
        <v>119</v>
      </c>
    </row>
    <row r="45" customFormat="false" ht="15" hidden="false" customHeight="false" outlineLevel="0" collapsed="false">
      <c r="A45" s="0" t="s">
        <v>120</v>
      </c>
      <c r="C45" s="31" t="n">
        <f aca="false">D17/MAX(1,Inputs!$B$6)/12</f>
        <v>53.2258064516129</v>
      </c>
    </row>
    <row r="46" customFormat="false" ht="15" hidden="false" customHeight="false" outlineLevel="0" collapsed="false">
      <c r="A46" s="0" t="s">
        <v>121</v>
      </c>
      <c r="C46" s="31" t="n">
        <f aca="false">D38/MAX(1,Inputs!$B$6)/12</f>
        <v>13.2258064516129</v>
      </c>
    </row>
    <row r="48" customFormat="false" ht="15" hidden="false" customHeight="false" outlineLevel="0" collapsed="false">
      <c r="A48" s="29" t="s">
        <v>122</v>
      </c>
    </row>
    <row r="49" customFormat="false" ht="15" hidden="false" customHeight="false" outlineLevel="0" collapsed="false">
      <c r="A49" s="0" t="s">
        <v>123</v>
      </c>
      <c r="H49" s="20" t="n">
        <f aca="false">H17-H9-H10-H16</f>
        <v>201680</v>
      </c>
    </row>
    <row r="50" customFormat="false" ht="15" hidden="false" customHeight="false" outlineLevel="0" collapsed="false">
      <c r="A50" s="0" t="s">
        <v>124</v>
      </c>
      <c r="H50" s="20" t="n">
        <f aca="false">H38-H28</f>
        <v>60480</v>
      </c>
    </row>
    <row r="52" customFormat="false" ht="15" hidden="false" customHeight="false" outlineLevel="0" collapsed="false">
      <c r="A52" s="8" t="s">
        <v>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2026-10-21T13:44:44Z</dcterms:created>
  <dc:creator>openpyxl</dc:creator>
  <dc:description/>
  <dc:language>en-US</dc:language>
  <cp:lastModifiedBy/>
  <dcterms:modified xsi:type="dcterms:W3CDTF">2026-10-21T13:44:44Z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